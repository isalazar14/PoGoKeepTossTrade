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smel\Desktop\"/>
    </mc:Choice>
  </mc:AlternateContent>
  <bookViews>
    <workbookView xWindow="0" yWindow="0" windowWidth="20220" windowHeight="7185" activeTab="4"/>
  </bookViews>
  <sheets>
    <sheet name="Sheet1" sheetId="1" r:id="rId1"/>
    <sheet name="Buddy Distances" sheetId="2" r:id="rId2"/>
    <sheet name="Sheet2" sheetId="3" r:id="rId3"/>
    <sheet name="refs" sheetId="4" r:id="rId4"/>
    <sheet name="Sheet4" sheetId="5" r:id="rId5"/>
  </sheets>
  <definedNames>
    <definedName name="specialEventFactor">'Buddy Distances'!$L$1</definedName>
  </definedNames>
  <calcPr calcId="152511" concurrentCalc="0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" i="2" l="1"/>
  <c r="K36" i="2"/>
  <c r="L36" i="2"/>
  <c r="M36" i="2"/>
  <c r="J35" i="2"/>
  <c r="K35" i="2"/>
  <c r="L35" i="2"/>
  <c r="M35" i="2"/>
  <c r="J34" i="2"/>
  <c r="K34" i="2"/>
  <c r="L34" i="2"/>
  <c r="M34" i="2"/>
  <c r="J32" i="2"/>
  <c r="K32" i="2"/>
  <c r="L32" i="2"/>
  <c r="M32" i="2"/>
  <c r="J8" i="2"/>
  <c r="K8" i="2"/>
  <c r="L8" i="2"/>
  <c r="M8" i="2"/>
  <c r="J13" i="2"/>
  <c r="K13" i="2"/>
  <c r="L13" i="2"/>
  <c r="M13" i="2"/>
  <c r="J33" i="2"/>
  <c r="K33" i="2"/>
  <c r="L33" i="2"/>
  <c r="M33" i="2"/>
  <c r="J18" i="2"/>
  <c r="K18" i="2"/>
  <c r="L18" i="2"/>
  <c r="M18" i="2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25" i="2"/>
  <c r="K25" i="2"/>
  <c r="L25" i="2"/>
  <c r="M25" i="2"/>
  <c r="J11" i="2"/>
  <c r="K11" i="2"/>
  <c r="L11" i="2"/>
  <c r="M11" i="2"/>
  <c r="J12" i="2"/>
  <c r="K12" i="2"/>
  <c r="L12" i="2"/>
  <c r="M12" i="2"/>
  <c r="J9" i="2"/>
  <c r="K9" i="2"/>
  <c r="L9" i="2"/>
  <c r="M9" i="2"/>
  <c r="J14" i="2"/>
  <c r="K14" i="2"/>
  <c r="L14" i="2"/>
  <c r="M14" i="2"/>
  <c r="J15" i="2"/>
  <c r="K15" i="2"/>
  <c r="L15" i="2"/>
  <c r="M15" i="2"/>
  <c r="J10" i="2"/>
  <c r="K10" i="2"/>
  <c r="L10" i="2"/>
  <c r="M10" i="2"/>
  <c r="J17" i="2"/>
  <c r="K17" i="2"/>
  <c r="L17" i="2"/>
  <c r="M17" i="2"/>
  <c r="J19" i="2"/>
  <c r="K19" i="2"/>
  <c r="L19" i="2"/>
  <c r="M19" i="2"/>
  <c r="J20" i="2"/>
  <c r="K20" i="2"/>
  <c r="L20" i="2"/>
  <c r="M20" i="2"/>
  <c r="J16" i="2"/>
  <c r="K16" i="2"/>
  <c r="L16" i="2"/>
  <c r="M16" i="2"/>
  <c r="J21" i="2"/>
  <c r="K21" i="2"/>
  <c r="L21" i="2"/>
  <c r="M21" i="2"/>
  <c r="J7" i="2"/>
  <c r="K7" i="2"/>
  <c r="L7" i="2"/>
  <c r="M7" i="2"/>
  <c r="J23" i="2"/>
  <c r="K23" i="2"/>
  <c r="L23" i="2"/>
  <c r="M23" i="2"/>
  <c r="J22" i="2"/>
  <c r="K22" i="2"/>
  <c r="L22" i="2"/>
  <c r="M22" i="2"/>
  <c r="J26" i="2"/>
  <c r="K26" i="2"/>
  <c r="L26" i="2"/>
  <c r="M26" i="2"/>
  <c r="J28" i="2"/>
  <c r="K28" i="2"/>
  <c r="L28" i="2"/>
  <c r="M28" i="2"/>
  <c r="J24" i="2"/>
  <c r="K24" i="2"/>
  <c r="L24" i="2"/>
  <c r="M24" i="2"/>
  <c r="J27" i="2"/>
  <c r="K27" i="2"/>
  <c r="L27" i="2"/>
  <c r="M27" i="2"/>
  <c r="J29" i="2"/>
  <c r="K29" i="2"/>
  <c r="L29" i="2"/>
  <c r="M29" i="2"/>
  <c r="J30" i="2"/>
  <c r="K30" i="2"/>
  <c r="L30" i="2"/>
  <c r="M30" i="2"/>
  <c r="J31" i="2"/>
  <c r="K31" i="2"/>
  <c r="L31" i="2"/>
  <c r="M31" i="2"/>
  <c r="E9" i="1"/>
  <c r="F9" i="1"/>
  <c r="G9" i="1"/>
  <c r="H9" i="1"/>
  <c r="I9" i="1"/>
  <c r="J9" i="1"/>
  <c r="E73" i="1"/>
  <c r="F73" i="1"/>
  <c r="G73" i="1"/>
  <c r="H73" i="1"/>
  <c r="I73" i="1"/>
  <c r="J73" i="1"/>
  <c r="K73" i="1"/>
  <c r="L73" i="1"/>
  <c r="E72" i="1"/>
  <c r="F72" i="1"/>
  <c r="G72" i="1"/>
  <c r="H72" i="1"/>
  <c r="I72" i="1"/>
  <c r="J72" i="1"/>
  <c r="K72" i="1"/>
  <c r="L72" i="1"/>
  <c r="L2" i="1"/>
  <c r="L4" i="1"/>
  <c r="L6" i="1"/>
  <c r="L7" i="1"/>
  <c r="L8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5" i="1"/>
  <c r="L66" i="1"/>
  <c r="L67" i="1"/>
  <c r="L68" i="1"/>
  <c r="L69" i="1"/>
  <c r="L70" i="1"/>
  <c r="L71" i="1"/>
  <c r="E71" i="1"/>
  <c r="F71" i="1"/>
  <c r="G71" i="1"/>
  <c r="H71" i="1"/>
  <c r="I71" i="1"/>
  <c r="J71" i="1"/>
  <c r="K71" i="1"/>
  <c r="E70" i="1"/>
  <c r="F70" i="1"/>
  <c r="G70" i="1"/>
  <c r="H70" i="1"/>
  <c r="I70" i="1"/>
  <c r="J70" i="1"/>
  <c r="K70" i="1"/>
  <c r="E69" i="1"/>
  <c r="F69" i="1"/>
  <c r="G69" i="1"/>
  <c r="H69" i="1"/>
  <c r="I69" i="1"/>
  <c r="J69" i="1"/>
  <c r="K69" i="1"/>
  <c r="E68" i="1"/>
  <c r="F68" i="1"/>
  <c r="G68" i="1"/>
  <c r="H68" i="1"/>
  <c r="I68" i="1"/>
  <c r="J68" i="1"/>
  <c r="K68" i="1"/>
  <c r="E67" i="1"/>
  <c r="F67" i="1"/>
  <c r="G67" i="1"/>
  <c r="H67" i="1"/>
  <c r="I67" i="1"/>
  <c r="J67" i="1"/>
  <c r="K67" i="1"/>
  <c r="E66" i="1"/>
  <c r="F66" i="1"/>
  <c r="G66" i="1"/>
  <c r="H66" i="1"/>
  <c r="I66" i="1"/>
  <c r="J66" i="1"/>
  <c r="K66" i="1"/>
  <c r="E65" i="1"/>
  <c r="F65" i="1"/>
  <c r="G65" i="1"/>
  <c r="H65" i="1"/>
  <c r="I65" i="1"/>
  <c r="J65" i="1"/>
  <c r="K65" i="1"/>
  <c r="E64" i="1"/>
  <c r="F64" i="1"/>
  <c r="G64" i="1"/>
  <c r="H64" i="1"/>
  <c r="I64" i="1"/>
  <c r="J64" i="1"/>
  <c r="K64" i="1"/>
  <c r="E63" i="1"/>
  <c r="F63" i="1"/>
  <c r="G63" i="1"/>
  <c r="H63" i="1"/>
  <c r="I63" i="1"/>
  <c r="J63" i="1"/>
  <c r="K63" i="1"/>
  <c r="E62" i="1"/>
  <c r="F62" i="1"/>
  <c r="G62" i="1"/>
  <c r="H62" i="1"/>
  <c r="I62" i="1"/>
  <c r="J62" i="1"/>
  <c r="K62" i="1"/>
  <c r="E61" i="1"/>
  <c r="F61" i="1"/>
  <c r="G61" i="1"/>
  <c r="H61" i="1"/>
  <c r="I61" i="1"/>
  <c r="J61" i="1"/>
  <c r="K61" i="1"/>
  <c r="E60" i="1"/>
  <c r="F60" i="1"/>
  <c r="G60" i="1"/>
  <c r="H60" i="1"/>
  <c r="I60" i="1"/>
  <c r="J60" i="1"/>
  <c r="K60" i="1"/>
  <c r="E59" i="1"/>
  <c r="F59" i="1"/>
  <c r="G59" i="1"/>
  <c r="H59" i="1"/>
  <c r="I59" i="1"/>
  <c r="J59" i="1"/>
  <c r="K59" i="1"/>
  <c r="E58" i="1"/>
  <c r="F58" i="1"/>
  <c r="G58" i="1"/>
  <c r="H58" i="1"/>
  <c r="I58" i="1"/>
  <c r="J58" i="1"/>
  <c r="K58" i="1"/>
  <c r="E57" i="1"/>
  <c r="F57" i="1"/>
  <c r="G57" i="1"/>
  <c r="H57" i="1"/>
  <c r="I57" i="1"/>
  <c r="J57" i="1"/>
  <c r="K57" i="1"/>
  <c r="E56" i="1"/>
  <c r="F56" i="1"/>
  <c r="G56" i="1"/>
  <c r="H56" i="1"/>
  <c r="I56" i="1"/>
  <c r="J56" i="1"/>
  <c r="K56" i="1"/>
  <c r="E55" i="1"/>
  <c r="F55" i="1"/>
  <c r="G55" i="1"/>
  <c r="H55" i="1"/>
  <c r="I55" i="1"/>
  <c r="J55" i="1"/>
  <c r="K55" i="1"/>
  <c r="E54" i="1"/>
  <c r="F54" i="1"/>
  <c r="G54" i="1"/>
  <c r="H54" i="1"/>
  <c r="I54" i="1"/>
  <c r="J54" i="1"/>
  <c r="K54" i="1"/>
  <c r="E53" i="1"/>
  <c r="F53" i="1"/>
  <c r="G53" i="1"/>
  <c r="H53" i="1"/>
  <c r="I53" i="1"/>
  <c r="J53" i="1"/>
  <c r="K53" i="1"/>
  <c r="E52" i="1"/>
  <c r="F52" i="1"/>
  <c r="G52" i="1"/>
  <c r="H52" i="1"/>
  <c r="I52" i="1"/>
  <c r="J52" i="1"/>
  <c r="K52" i="1"/>
  <c r="E51" i="1"/>
  <c r="F51" i="1"/>
  <c r="G51" i="1"/>
  <c r="H51" i="1"/>
  <c r="I51" i="1"/>
  <c r="J51" i="1"/>
  <c r="K51" i="1"/>
  <c r="E2" i="1"/>
  <c r="F2" i="1"/>
  <c r="G2" i="1"/>
  <c r="H2" i="1"/>
  <c r="I2" i="1"/>
  <c r="J2" i="1"/>
  <c r="K2" i="1"/>
  <c r="E3" i="1"/>
  <c r="F3" i="1"/>
  <c r="G3" i="1"/>
  <c r="H3" i="1"/>
  <c r="I3" i="1"/>
  <c r="J3" i="1"/>
  <c r="K3" i="1"/>
  <c r="E4" i="1"/>
  <c r="F4" i="1"/>
  <c r="G4" i="1"/>
  <c r="H4" i="1"/>
  <c r="I4" i="1"/>
  <c r="J4" i="1"/>
  <c r="K4" i="1"/>
  <c r="E5" i="1"/>
  <c r="F5" i="1"/>
  <c r="G5" i="1"/>
  <c r="H5" i="1"/>
  <c r="I5" i="1"/>
  <c r="J5" i="1"/>
  <c r="K5" i="1"/>
  <c r="E6" i="1"/>
  <c r="F6" i="1"/>
  <c r="G6" i="1"/>
  <c r="H6" i="1"/>
  <c r="I6" i="1"/>
  <c r="J6" i="1"/>
  <c r="K6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E15" i="1"/>
  <c r="F15" i="1"/>
  <c r="G15" i="1"/>
  <c r="H15" i="1"/>
  <c r="I15" i="1"/>
  <c r="J15" i="1"/>
  <c r="K15" i="1"/>
  <c r="E16" i="1"/>
  <c r="F16" i="1"/>
  <c r="G16" i="1"/>
  <c r="H16" i="1"/>
  <c r="I16" i="1"/>
  <c r="J16" i="1"/>
  <c r="K16" i="1"/>
  <c r="E17" i="1"/>
  <c r="F17" i="1"/>
  <c r="G17" i="1"/>
  <c r="H17" i="1"/>
  <c r="I17" i="1"/>
  <c r="J17" i="1"/>
  <c r="K17" i="1"/>
  <c r="E18" i="1"/>
  <c r="F18" i="1"/>
  <c r="G18" i="1"/>
  <c r="H18" i="1"/>
  <c r="I18" i="1"/>
  <c r="J18" i="1"/>
  <c r="K18" i="1"/>
  <c r="E19" i="1"/>
  <c r="F19" i="1"/>
  <c r="G19" i="1"/>
  <c r="H19" i="1"/>
  <c r="I19" i="1"/>
  <c r="J19" i="1"/>
  <c r="K19" i="1"/>
  <c r="E20" i="1"/>
  <c r="F20" i="1"/>
  <c r="G20" i="1"/>
  <c r="H20" i="1"/>
  <c r="I20" i="1"/>
  <c r="J20" i="1"/>
  <c r="K20" i="1"/>
  <c r="E21" i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E26" i="1"/>
  <c r="F26" i="1"/>
  <c r="G26" i="1"/>
  <c r="H26" i="1"/>
  <c r="I26" i="1"/>
  <c r="J26" i="1"/>
  <c r="K26" i="1"/>
  <c r="E27" i="1"/>
  <c r="F27" i="1"/>
  <c r="G27" i="1"/>
  <c r="H27" i="1"/>
  <c r="I27" i="1"/>
  <c r="J27" i="1"/>
  <c r="K27" i="1"/>
  <c r="E28" i="1"/>
  <c r="F28" i="1"/>
  <c r="G28" i="1"/>
  <c r="H28" i="1"/>
  <c r="I28" i="1"/>
  <c r="J28" i="1"/>
  <c r="K28" i="1"/>
  <c r="E29" i="1"/>
  <c r="F29" i="1"/>
  <c r="G29" i="1"/>
  <c r="H29" i="1"/>
  <c r="I29" i="1"/>
  <c r="J29" i="1"/>
  <c r="K29" i="1"/>
  <c r="E30" i="1"/>
  <c r="F30" i="1"/>
  <c r="G30" i="1"/>
  <c r="H30" i="1"/>
  <c r="I30" i="1"/>
  <c r="J30" i="1"/>
  <c r="K30" i="1"/>
  <c r="E31" i="1"/>
  <c r="F31" i="1"/>
  <c r="G31" i="1"/>
  <c r="H31" i="1"/>
  <c r="I31" i="1"/>
  <c r="J31" i="1"/>
  <c r="K31" i="1"/>
  <c r="E32" i="1"/>
  <c r="F32" i="1"/>
  <c r="G32" i="1"/>
  <c r="H32" i="1"/>
  <c r="I32" i="1"/>
  <c r="J32" i="1"/>
  <c r="K32" i="1"/>
  <c r="E33" i="1"/>
  <c r="F33" i="1"/>
  <c r="G33" i="1"/>
  <c r="H33" i="1"/>
  <c r="I33" i="1"/>
  <c r="J33" i="1"/>
  <c r="K33" i="1"/>
  <c r="E34" i="1"/>
  <c r="F34" i="1"/>
  <c r="G34" i="1"/>
  <c r="H34" i="1"/>
  <c r="I34" i="1"/>
  <c r="J34" i="1"/>
  <c r="K34" i="1"/>
  <c r="E35" i="1"/>
  <c r="F35" i="1"/>
  <c r="G35" i="1"/>
  <c r="H35" i="1"/>
  <c r="I35" i="1"/>
  <c r="J35" i="1"/>
  <c r="K35" i="1"/>
  <c r="E36" i="1"/>
  <c r="F36" i="1"/>
  <c r="G36" i="1"/>
  <c r="H36" i="1"/>
  <c r="I36" i="1"/>
  <c r="J36" i="1"/>
  <c r="K36" i="1"/>
  <c r="E37" i="1"/>
  <c r="F37" i="1"/>
  <c r="G37" i="1"/>
  <c r="H37" i="1"/>
  <c r="I37" i="1"/>
  <c r="J37" i="1"/>
  <c r="K37" i="1"/>
  <c r="E38" i="1"/>
  <c r="F38" i="1"/>
  <c r="G38" i="1"/>
  <c r="H38" i="1"/>
  <c r="I38" i="1"/>
  <c r="J38" i="1"/>
  <c r="K38" i="1"/>
  <c r="E39" i="1"/>
  <c r="F39" i="1"/>
  <c r="G39" i="1"/>
  <c r="H39" i="1"/>
  <c r="I39" i="1"/>
  <c r="J39" i="1"/>
  <c r="K39" i="1"/>
  <c r="E40" i="1"/>
  <c r="F40" i="1"/>
  <c r="G40" i="1"/>
  <c r="H40" i="1"/>
  <c r="I40" i="1"/>
  <c r="J40" i="1"/>
  <c r="K40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F43" i="1"/>
  <c r="G43" i="1"/>
  <c r="H43" i="1"/>
  <c r="I43" i="1"/>
  <c r="J43" i="1"/>
  <c r="K43" i="1"/>
  <c r="E44" i="1"/>
  <c r="F44" i="1"/>
  <c r="G44" i="1"/>
  <c r="H44" i="1"/>
  <c r="I44" i="1"/>
  <c r="J44" i="1"/>
  <c r="K44" i="1"/>
  <c r="E45" i="1"/>
  <c r="F45" i="1"/>
  <c r="G45" i="1"/>
  <c r="H45" i="1"/>
  <c r="I45" i="1"/>
  <c r="J45" i="1"/>
  <c r="K45" i="1"/>
  <c r="E46" i="1"/>
  <c r="F46" i="1"/>
  <c r="G46" i="1"/>
  <c r="H46" i="1"/>
  <c r="I46" i="1"/>
  <c r="J46" i="1"/>
  <c r="K46" i="1"/>
  <c r="E47" i="1"/>
  <c r="F47" i="1"/>
  <c r="G47" i="1"/>
  <c r="H47" i="1"/>
  <c r="I47" i="1"/>
  <c r="J47" i="1"/>
  <c r="K47" i="1"/>
  <c r="E48" i="1"/>
  <c r="F48" i="1"/>
  <c r="G48" i="1"/>
  <c r="H48" i="1"/>
  <c r="I48" i="1"/>
  <c r="J48" i="1"/>
  <c r="K48" i="1"/>
  <c r="E49" i="1"/>
  <c r="F49" i="1"/>
  <c r="G49" i="1"/>
  <c r="H49" i="1"/>
  <c r="I49" i="1"/>
  <c r="J49" i="1"/>
  <c r="K49" i="1"/>
  <c r="E50" i="1"/>
  <c r="F50" i="1"/>
  <c r="G50" i="1"/>
  <c r="H50" i="1"/>
  <c r="I50" i="1"/>
  <c r="J50" i="1"/>
  <c r="K50" i="1"/>
</calcChain>
</file>

<file path=xl/sharedStrings.xml><?xml version="1.0" encoding="utf-8"?>
<sst xmlns="http://schemas.openxmlformats.org/spreadsheetml/2006/main" count="3367" uniqueCount="2060">
  <si>
    <t>pokemon</t>
  </si>
  <si>
    <t>candies</t>
  </si>
  <si>
    <t>candies/evo</t>
  </si>
  <si>
    <t>total evos</t>
  </si>
  <si>
    <t>bulbasaur</t>
  </si>
  <si>
    <t>ivysaur</t>
  </si>
  <si>
    <t>charmander</t>
  </si>
  <si>
    <t>charmeleon</t>
  </si>
  <si>
    <t>caterpie</t>
  </si>
  <si>
    <t>Column1</t>
  </si>
  <si>
    <t>repeats</t>
  </si>
  <si>
    <t>weedle</t>
  </si>
  <si>
    <t>pidgey</t>
  </si>
  <si>
    <t>pidgeotto</t>
  </si>
  <si>
    <t>rattata</t>
  </si>
  <si>
    <t>pikachu</t>
  </si>
  <si>
    <t>nidoranf</t>
  </si>
  <si>
    <t>nidoranm</t>
  </si>
  <si>
    <t>oddish</t>
  </si>
  <si>
    <t>paras</t>
  </si>
  <si>
    <t>mankey</t>
  </si>
  <si>
    <t>growlithe</t>
  </si>
  <si>
    <t>abra</t>
  </si>
  <si>
    <t>machop</t>
  </si>
  <si>
    <t>bellsprout</t>
  </si>
  <si>
    <t>slowpoke</t>
  </si>
  <si>
    <t>magnemite</t>
  </si>
  <si>
    <t>shellder</t>
  </si>
  <si>
    <t>ghastly</t>
  </si>
  <si>
    <t>drowzee</t>
  </si>
  <si>
    <t>exeggcute</t>
  </si>
  <si>
    <t>koffing</t>
  </si>
  <si>
    <t>chansey</t>
  </si>
  <si>
    <t>horsea</t>
  </si>
  <si>
    <t>eevee</t>
  </si>
  <si>
    <t>chikorita</t>
  </si>
  <si>
    <t>cyndaquil</t>
  </si>
  <si>
    <t>totodile</t>
  </si>
  <si>
    <t>transfers for extra evo</t>
  </si>
  <si>
    <t>extra evos after transfers</t>
  </si>
  <si>
    <t>sentret</t>
  </si>
  <si>
    <t>togepi</t>
  </si>
  <si>
    <t>natu</t>
  </si>
  <si>
    <t>mareep</t>
  </si>
  <si>
    <t>marill</t>
  </si>
  <si>
    <t>hoppip</t>
  </si>
  <si>
    <t>houndour</t>
  </si>
  <si>
    <t>tyrogue</t>
  </si>
  <si>
    <t>treecko</t>
  </si>
  <si>
    <t>torchic</t>
  </si>
  <si>
    <t>zigzagoon</t>
  </si>
  <si>
    <t>wurmple</t>
  </si>
  <si>
    <t>seedot</t>
  </si>
  <si>
    <t>taillow</t>
  </si>
  <si>
    <t>ralts</t>
  </si>
  <si>
    <t>whismur</t>
  </si>
  <si>
    <t>makuhita</t>
  </si>
  <si>
    <t>evos pre-xfers</t>
  </si>
  <si>
    <t>base xp</t>
  </si>
  <si>
    <t>2x event xp</t>
  </si>
  <si>
    <t>2x lucky egg xp</t>
  </si>
  <si>
    <t>aron</t>
  </si>
  <si>
    <t>meditite</t>
  </si>
  <si>
    <t>turtwig</t>
  </si>
  <si>
    <t>chimchar</t>
  </si>
  <si>
    <t>piplup</t>
  </si>
  <si>
    <t>bidoof</t>
  </si>
  <si>
    <t>shinx</t>
  </si>
  <si>
    <t>burmy</t>
  </si>
  <si>
    <t>croagunk</t>
  </si>
  <si>
    <t>snivy</t>
  </si>
  <si>
    <t>oshawott</t>
  </si>
  <si>
    <t>patrat</t>
  </si>
  <si>
    <t>lillipup</t>
  </si>
  <si>
    <t>herdier</t>
  </si>
  <si>
    <t>purrloin</t>
  </si>
  <si>
    <t>pidove</t>
  </si>
  <si>
    <t>timbur</t>
  </si>
  <si>
    <t>tympole</t>
  </si>
  <si>
    <t>venipede</t>
  </si>
  <si>
    <t>solosis</t>
  </si>
  <si>
    <t>foongus</t>
  </si>
  <si>
    <t>evo stage</t>
  </si>
  <si>
    <t>Sum of 2x lucky egg xp</t>
  </si>
  <si>
    <t>Row Labels</t>
  </si>
  <si>
    <t>Grand Total</t>
  </si>
  <si>
    <t>joltik</t>
  </si>
  <si>
    <t>ferroseed</t>
  </si>
  <si>
    <t>new dex evo</t>
  </si>
  <si>
    <t>Sum of total evos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</si>
  <si>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</si>
  <si>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</si>
  <si>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</si>
  <si>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</si>
  <si>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</si>
  <si>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</si>
  <si>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</si>
  <si>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</si>
  <si>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</si>
  <si>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</si>
  <si>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</si>
  <si>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</si>
  <si>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</si>
  <si>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Pikachu</t>
  </si>
  <si>
    <t>Raichu</t>
  </si>
  <si>
    <t>Clefairy</t>
  </si>
  <si>
    <t>Clefable</t>
  </si>
  <si>
    <t>Jigglypuff</t>
  </si>
  <si>
    <t>Wigglytuff</t>
  </si>
  <si>
    <t>Zubat</t>
  </si>
  <si>
    <t>Golbat</t>
  </si>
  <si>
    <t>Geodude</t>
  </si>
  <si>
    <t>Graveler</t>
  </si>
  <si>
    <t>Golem</t>
  </si>
  <si>
    <t>Magikarp</t>
  </si>
  <si>
    <t>Gyarados</t>
  </si>
  <si>
    <t>Pichu</t>
  </si>
  <si>
    <t>Cleffa</t>
  </si>
  <si>
    <t>Igglybuff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</si>
  <si>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</si>
  <si>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</si>
  <si>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</si>
  <si>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</si>
  <si>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</si>
  <si>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</si>
  <si>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</si>
  <si>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</si>
  <si>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</si>
  <si>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Slugma</t>
  </si>
  <si>
    <t>Magcargo</t>
  </si>
  <si>
    <t>Remoraid</t>
  </si>
  <si>
    <t>Octillery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</si>
  <si>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</si>
  <si>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</si>
  <si>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</si>
  <si>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</si>
  <si>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</si>
  <si>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</si>
  <si>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</si>
  <si>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</si>
  <si>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</si>
  <si>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Taillow</t>
  </si>
  <si>
    <t>Swellow</t>
  </si>
  <si>
    <t>Surskit</t>
  </si>
  <si>
    <t>Masquerain</t>
  </si>
  <si>
    <t>Whismur</t>
  </si>
  <si>
    <t>Loudred</t>
  </si>
  <si>
    <t>Exploud</t>
  </si>
  <si>
    <t>Aron</t>
  </si>
  <si>
    <t>Lairon</t>
  </si>
  <si>
    <t>Aggron</t>
  </si>
  <si>
    <t>Gulpin</t>
  </si>
  <si>
    <t>Swalot</t>
  </si>
  <si>
    <t>Wailmer</t>
  </si>
  <si>
    <t>Wailord</t>
  </si>
  <si>
    <t>Spoink</t>
  </si>
  <si>
    <t>Grumpig</t>
  </si>
  <si>
    <t>Swablu</t>
  </si>
  <si>
    <t>Altaria</t>
  </si>
  <si>
    <t>Barboach</t>
  </si>
  <si>
    <t>Whiscash</t>
  </si>
  <si>
    <t>Starly</t>
  </si>
  <si>
    <t>Staravia</t>
  </si>
  <si>
    <t>Staraptor</t>
  </si>
  <si>
    <t>Bidoof</t>
  </si>
  <si>
    <t>Bibarel</t>
  </si>
  <si>
    <t>Kricketune</t>
  </si>
  <si>
    <t>Mothim</t>
  </si>
  <si>
    <t>Cherrim</t>
  </si>
  <si>
    <t>Patrat</t>
  </si>
  <si>
    <t>Watchog</t>
  </si>
  <si>
    <t>Lillipup</t>
  </si>
  <si>
    <t>Herdier</t>
  </si>
  <si>
    <t>Stoutland</t>
  </si>
  <si>
    <t>Purrloin</t>
  </si>
  <si>
    <t>Liepard</t>
  </si>
  <si>
    <t>Pidove</t>
  </si>
  <si>
    <t>Unfezant</t>
  </si>
  <si>
    <t>Woobat</t>
  </si>
  <si>
    <t>Venipede</t>
  </si>
  <si>
    <t>Whirlipede</t>
  </si>
  <si>
    <t>Scolipede</t>
  </si>
  <si>
    <t>Maractus</t>
  </si>
  <si>
    <t>Dwebble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</si>
  <si>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</si>
  <si>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</si>
  <si>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</si>
  <si>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</si>
  <si>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</si>
  <si>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</si>
  <si>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</si>
  <si>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</si>
  <si>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</si>
  <si>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Ekans</t>
  </si>
  <si>
    <t>Arbok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</si>
  <si>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</si>
  <si>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</si>
  <si>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</si>
  <si>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</si>
  <si>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</si>
  <si>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</si>
  <si>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</si>
  <si>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</si>
  <si>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Vulpix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</si>
  <si>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</si>
  <si>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</si>
  <si>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</si>
  <si>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</si>
  <si>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</si>
  <si>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</si>
  <si>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</si>
  <si>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</si>
  <si>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</si>
  <si>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</si>
  <si>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</si>
  <si>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</si>
  <si>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</si>
  <si>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</si>
  <si>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</si>
  <si>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</si>
  <si>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</si>
  <si>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</si>
  <si>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</si>
  <si>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</si>
  <si>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</si>
  <si>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</si>
  <si>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</si>
  <si>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</si>
  <si>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</si>
  <si>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</si>
  <si>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</si>
  <si>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</si>
  <si>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</si>
  <si>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</si>
  <si>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</si>
  <si>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Ponyta</t>
  </si>
  <si>
    <t>Rapidash</t>
  </si>
  <si>
    <t>Slowpoke</t>
  </si>
  <si>
    <t>Slowbro</t>
  </si>
  <si>
    <t>Magnemite</t>
  </si>
  <si>
    <t>Magneton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</si>
  <si>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</si>
  <si>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</si>
  <si>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</si>
  <si>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</si>
  <si>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</si>
  <si>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</si>
  <si>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</si>
  <si>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</si>
  <si>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</si>
  <si>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</si>
  <si>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</si>
  <si>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</si>
  <si>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</si>
  <si>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</si>
  <si>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</si>
  <si>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</si>
  <si>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</si>
  <si>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</si>
  <si>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</si>
  <si>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</si>
  <si>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</si>
  <si>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Lickitung</t>
  </si>
  <si>
    <t>Koffing</t>
  </si>
  <si>
    <t>Weezing</t>
  </si>
  <si>
    <t>Rhyhorn</t>
  </si>
  <si>
    <t>Rhydon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</si>
  <si>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</si>
  <si>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</si>
  <si>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</si>
  <si>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</si>
  <si>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</si>
  <si>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</si>
  <si>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</si>
  <si>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</si>
  <si>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Tauros</t>
  </si>
  <si>
    <t>Porygon</t>
  </si>
  <si>
    <t>Chikorita</t>
  </si>
  <si>
    <t>Bayleef</t>
  </si>
  <si>
    <t>Cyndaquil</t>
  </si>
  <si>
    <t>Quilava</t>
  </si>
  <si>
    <t>Totodile</t>
  </si>
  <si>
    <t>Croconaw</t>
  </si>
  <si>
    <t>Feraligatr</t>
  </si>
  <si>
    <t>Chinchou</t>
  </si>
  <si>
    <t>Lanturn</t>
  </si>
  <si>
    <t>Togepi</t>
  </si>
  <si>
    <t>Togetic</t>
  </si>
  <si>
    <t>Natu</t>
  </si>
  <si>
    <t>Xatu</t>
  </si>
  <si>
    <t>Bellossom</t>
  </si>
  <si>
    <t>Marill</t>
  </si>
  <si>
    <t>Azumarill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</si>
  <si>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</si>
  <si>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</si>
  <si>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</si>
  <si>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</si>
  <si>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</si>
  <si>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</si>
  <si>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</si>
  <si>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</si>
  <si>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</si>
  <si>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</si>
  <si>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Murkrow</t>
  </si>
  <si>
    <t>Slowking</t>
  </si>
  <si>
    <t>Misdreavus</t>
  </si>
  <si>
    <t>Wobbuffet</t>
  </si>
  <si>
    <t>Girafarig</t>
  </si>
  <si>
    <t>Dunsparce</t>
  </si>
  <si>
    <t>Snubbull</t>
  </si>
  <si>
    <t>Granbull</t>
  </si>
  <si>
    <t>Shuckle</t>
  </si>
  <si>
    <t>Heracross</t>
  </si>
  <si>
    <t>Sneasel</t>
  </si>
  <si>
    <t>Teddiursa</t>
  </si>
  <si>
    <t>Ursaring</t>
  </si>
  <si>
    <t>Swinub</t>
  </si>
  <si>
    <t>Piloswine</t>
  </si>
  <si>
    <t>Corsola</t>
  </si>
  <si>
    <t>Houndour</t>
  </si>
  <si>
    <t>Houndoom</t>
  </si>
  <si>
    <t>Kingdra</t>
  </si>
  <si>
    <t>Phanpy</t>
  </si>
  <si>
    <t>Porygon2</t>
  </si>
  <si>
    <t>Stantler</t>
  </si>
  <si>
    <t>Smeargle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</si>
  <si>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</si>
  <si>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</si>
  <si>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</si>
  <si>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</si>
  <si>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</si>
  <si>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</si>
  <si>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</si>
  <si>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</si>
  <si>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</si>
  <si>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Lotad</t>
  </si>
  <si>
    <t>Lombre</t>
  </si>
  <si>
    <t>Ludicolo</t>
  </si>
  <si>
    <t>Seedot</t>
  </si>
  <si>
    <t>Nuzleaf</t>
  </si>
  <si>
    <t>Shiftry</t>
  </si>
  <si>
    <t>Wingull</t>
  </si>
  <si>
    <t>Pelipper</t>
  </si>
  <si>
    <t>Shroomish</t>
  </si>
  <si>
    <t>Breloom</t>
  </si>
  <si>
    <t>Makuhita</t>
  </si>
  <si>
    <t>Hariyama</t>
  </si>
  <si>
    <t>Azurill</t>
  </si>
  <si>
    <t>Nosepass</t>
  </si>
  <si>
    <t>Skitty</t>
  </si>
  <si>
    <t>Delcatty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</si>
  <si>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</si>
  <si>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</si>
  <si>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</si>
  <si>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</si>
  <si>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</si>
  <si>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</si>
  <si>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</si>
  <si>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</si>
  <si>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</si>
  <si>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Carvanha</t>
  </si>
  <si>
    <t>Sharpedo</t>
  </si>
  <si>
    <t>Numel</t>
  </si>
  <si>
    <t>Camerupt</t>
  </si>
  <si>
    <t>Torkoal</t>
  </si>
  <si>
    <t>Spinda</t>
  </si>
  <si>
    <t>Cacnea</t>
  </si>
  <si>
    <t>Cacturne</t>
  </si>
  <si>
    <t>Zangoose</t>
  </si>
  <si>
    <t>Seviper</t>
  </si>
  <si>
    <t>Lunatone</t>
  </si>
  <si>
    <t>Solrock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</si>
  <si>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</si>
  <si>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</si>
  <si>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</si>
  <si>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</si>
  <si>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</si>
  <si>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</si>
  <si>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</si>
  <si>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</si>
  <si>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Shuppet</t>
  </si>
  <si>
    <t>Banette</t>
  </si>
  <si>
    <t>Duskull</t>
  </si>
  <si>
    <t>Dusclops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</si>
  <si>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</si>
  <si>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</si>
  <si>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</si>
  <si>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</si>
  <si>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</si>
  <si>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</si>
  <si>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</si>
  <si>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</si>
  <si>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</si>
  <si>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Luvdisc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</si>
  <si>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</si>
  <si>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</si>
  <si>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</si>
  <si>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</si>
  <si>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</si>
  <si>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</si>
  <si>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</si>
  <si>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</si>
  <si>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</si>
  <si>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Budew</t>
  </si>
  <si>
    <t>Roserade</t>
  </si>
  <si>
    <t>Combee</t>
  </si>
  <si>
    <t>Vespiquen</t>
  </si>
  <si>
    <t>Buizel</t>
  </si>
  <si>
    <t>Floatzel</t>
  </si>
  <si>
    <t>Ambipom</t>
  </si>
  <si>
    <t>Lopunny</t>
  </si>
  <si>
    <t>Mismagius</t>
  </si>
  <si>
    <t>Honchkrow</t>
  </si>
  <si>
    <t>Glameow</t>
  </si>
  <si>
    <t>Purugly</t>
  </si>
  <si>
    <t>Stunky</t>
  </si>
  <si>
    <t>Skuntank</t>
  </si>
  <si>
    <t>Bronzor</t>
  </si>
  <si>
    <t>Bronzong</t>
  </si>
  <si>
    <t>Hippopotas</t>
  </si>
  <si>
    <t>Hippowdon</t>
  </si>
  <si>
    <t>Croagunk</t>
  </si>
  <si>
    <t>Toxicroak</t>
  </si>
  <si>
    <t>Finneon</t>
  </si>
  <si>
    <t>Lumineon</t>
  </si>
  <si>
    <t>Snover</t>
  </si>
  <si>
    <t>Abomasnow</t>
  </si>
  <si>
    <t>Weavile</t>
  </si>
  <si>
    <t>Magnezone</t>
  </si>
  <si>
    <t>Rhyperior</t>
  </si>
  <si>
    <t>Tangrowth</t>
  </si>
  <si>
    <t>Togekiss</t>
  </si>
  <si>
    <t>Yanmega</t>
  </si>
  <si>
    <t>Mamoswine</t>
  </si>
  <si>
    <t>Porygon-Z</t>
  </si>
  <si>
    <t>Probopass</t>
  </si>
  <si>
    <t>Dusknoir</t>
  </si>
  <si>
    <t>Froslass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</si>
  <si>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</si>
  <si>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</si>
  <si>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</si>
  <si>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</si>
  <si>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</si>
  <si>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</si>
  <si>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</si>
  <si>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</si>
  <si>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</si>
  <si>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Pansage</t>
  </si>
  <si>
    <t>Simisage</t>
  </si>
  <si>
    <t>Pansear</t>
  </si>
  <si>
    <t>Simisear</t>
  </si>
  <si>
    <t>Panpour</t>
  </si>
  <si>
    <t>Simipour</t>
  </si>
  <si>
    <t>Blitzle</t>
  </si>
  <si>
    <t>Zebstrika</t>
  </si>
  <si>
    <t>Roggenrola</t>
  </si>
  <si>
    <t>Boldore</t>
  </si>
  <si>
    <t>Gigalith</t>
  </si>
  <si>
    <t>Drilbur</t>
  </si>
  <si>
    <t>Excadrill</t>
  </si>
  <si>
    <t>Tympole</t>
  </si>
  <si>
    <t>Palpitoad</t>
  </si>
  <si>
    <t>Seismitoad</t>
  </si>
  <si>
    <t>Darumaka</t>
  </si>
  <si>
    <t>Darmanitan</t>
  </si>
  <si>
    <t>Scraggy</t>
  </si>
  <si>
    <t>Scrafty</t>
  </si>
  <si>
    <t>Yamask</t>
  </si>
  <si>
    <t>Cofagrigus</t>
  </si>
  <si>
    <t>Trubbish</t>
  </si>
  <si>
    <t>Garbodor</t>
  </si>
  <si>
    <t>Minccino</t>
  </si>
  <si>
    <t>Cinccino</t>
  </si>
  <si>
    <t>Karrablast</t>
  </si>
  <si>
    <t>Escavalier</t>
  </si>
  <si>
    <t>Foongus</t>
  </si>
  <si>
    <t>Amoonguss</t>
  </si>
  <si>
    <t>Joltik</t>
  </si>
  <si>
    <t>Galvantula</t>
  </si>
  <si>
    <t>Ferroseed</t>
  </si>
  <si>
    <t>Ferrothorn</t>
  </si>
  <si>
    <t>Cubchoo</t>
  </si>
  <si>
    <t>Beartic</t>
  </si>
  <si>
    <t>Shelmet</t>
  </si>
  <si>
    <t>Accelgor</t>
  </si>
  <si>
    <t>Heatmor</t>
  </si>
  <si>
    <t>Durant</t>
  </si>
  <si>
    <t>Onix</t>
  </si>
  <si>
    <t>Hitmonlee</t>
  </si>
  <si>
    <t>Hitmonchan</t>
  </si>
  <si>
    <t>Chansey</t>
  </si>
  <si>
    <t>Mr. Mime</t>
  </si>
  <si>
    <t>Scyther</t>
  </si>
  <si>
    <t>Jynx</t>
  </si>
  <si>
    <t>Electabuzz</t>
  </si>
  <si>
    <t>Magmar</t>
  </si>
  <si>
    <t>Pinsir</t>
  </si>
  <si>
    <t>Lapras</t>
  </si>
  <si>
    <t>Eevee</t>
  </si>
  <si>
    <t>Vaporeon</t>
  </si>
  <si>
    <t>Jolteon</t>
  </si>
  <si>
    <t>Flareon</t>
  </si>
  <si>
    <t>Omanyte</t>
  </si>
  <si>
    <t>Omastar</t>
  </si>
  <si>
    <t>Kabuto</t>
  </si>
  <si>
    <t>Kabutops</t>
  </si>
  <si>
    <t>Aerodactyl</t>
  </si>
  <si>
    <t>Snorlax</t>
  </si>
  <si>
    <t>Dratini</t>
  </si>
  <si>
    <t>Dragonair</t>
  </si>
  <si>
    <t>Dragonite</t>
  </si>
  <si>
    <t>Smoochum</t>
  </si>
  <si>
    <t>Elekid</t>
  </si>
  <si>
    <t>Magby</t>
  </si>
  <si>
    <t>Mareep</t>
  </si>
  <si>
    <t>Flaaffy</t>
  </si>
  <si>
    <t>Ampharos</t>
  </si>
  <si>
    <t>Sudowoodo</t>
  </si>
  <si>
    <t>Espeon</t>
  </si>
  <si>
    <t>Umbreon</t>
  </si>
  <si>
    <t>Unown</t>
  </si>
  <si>
    <t>Pineco</t>
  </si>
  <si>
    <t>Forretress</t>
  </si>
  <si>
    <t>Gligar</t>
  </si>
  <si>
    <t>Steelix</t>
  </si>
  <si>
    <t>Scizor</t>
  </si>
  <si>
    <t>Delibird</t>
  </si>
  <si>
    <t>Mantine</t>
  </si>
  <si>
    <t>Skarmory</t>
  </si>
  <si>
    <t>Farfetch'd</t>
  </si>
  <si>
    <t>Tyrogue</t>
  </si>
  <si>
    <t>Hitmontop</t>
  </si>
  <si>
    <t>Miltank</t>
  </si>
  <si>
    <t>Blissey</t>
  </si>
  <si>
    <t>Larvitar</t>
  </si>
  <si>
    <t>Pupitar</t>
  </si>
  <si>
    <t>Tyranitar</t>
  </si>
  <si>
    <t>Ralts</t>
  </si>
  <si>
    <t>Kirlia</t>
  </si>
  <si>
    <t>Gardevoir</t>
  </si>
  <si>
    <t>Slakoth</t>
  </si>
  <si>
    <t>Vigoroth</t>
  </si>
  <si>
    <t>Slaking</t>
  </si>
  <si>
    <t>Nincada</t>
  </si>
  <si>
    <t>Ninjask</t>
  </si>
  <si>
    <t>Shedinja</t>
  </si>
  <si>
    <t>Sableye</t>
  </si>
  <si>
    <t>Mawile</t>
  </si>
  <si>
    <t>Trapinch</t>
  </si>
  <si>
    <t>Vibrava</t>
  </si>
  <si>
    <t>Flygon</t>
  </si>
  <si>
    <t>Feebas</t>
  </si>
  <si>
    <t>Milotic</t>
  </si>
  <si>
    <t>Castform</t>
  </si>
  <si>
    <t>Kecleon</t>
  </si>
  <si>
    <t>Tropius</t>
  </si>
  <si>
    <t>Chimecho</t>
  </si>
  <si>
    <t>Absol</t>
  </si>
  <si>
    <t>Relicanth</t>
  </si>
  <si>
    <t>Bagon</t>
  </si>
  <si>
    <t>Shelgon</t>
  </si>
  <si>
    <t>Salamence</t>
  </si>
  <si>
    <t>Beldum</t>
  </si>
  <si>
    <t>Metang</t>
  </si>
  <si>
    <t>Metagross</t>
  </si>
  <si>
    <t>Shinx</t>
  </si>
  <si>
    <t>Luxio</t>
  </si>
  <si>
    <t>Luxray</t>
  </si>
  <si>
    <t>Cranidos</t>
  </si>
  <si>
    <t>Rampardos</t>
  </si>
  <si>
    <t>Shieldon</t>
  </si>
  <si>
    <t>Bastiodon</t>
  </si>
  <si>
    <t>Pachirisu</t>
  </si>
  <si>
    <t>Drifblim</t>
  </si>
  <si>
    <t>Chingling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</si>
  <si>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</si>
  <si>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</si>
  <si>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</si>
  <si>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</si>
  <si>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</si>
  <si>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</si>
  <si>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</si>
  <si>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</si>
  <si>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</si>
  <si>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</si>
  <si>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</si>
  <si>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Skorupi</t>
  </si>
  <si>
    <t>Drapion</t>
  </si>
  <si>
    <t>Carnivine</t>
  </si>
  <si>
    <t>Mantyke</t>
  </si>
  <si>
    <t>Electivire</t>
  </si>
  <si>
    <t>Magmortar</t>
  </si>
  <si>
    <t>Leafeon</t>
  </si>
  <si>
    <t>Glaceon</t>
  </si>
  <si>
    <t>Gliscor</t>
  </si>
  <si>
    <t>Gallade</t>
  </si>
  <si>
    <t>Audino</t>
  </si>
  <si>
    <t>Timburr</t>
  </si>
  <si>
    <t>Gurdurr</t>
  </si>
  <si>
    <t>Conkeldurr</t>
  </si>
  <si>
    <t>Throh</t>
  </si>
  <si>
    <t>Sawk</t>
  </si>
  <si>
    <t>Sigilyph</t>
  </si>
  <si>
    <t>Tirtouga</t>
  </si>
  <si>
    <t>Carracosta</t>
  </si>
  <si>
    <t>Archen</t>
  </si>
  <si>
    <t>Archeops</t>
  </si>
  <si>
    <t>Alomomola</t>
  </si>
  <si>
    <t>Klink</t>
  </si>
  <si>
    <t>Klang</t>
  </si>
  <si>
    <t>Klinklang</t>
  </si>
  <si>
    <t>Litwick</t>
  </si>
  <si>
    <t>Lampent</t>
  </si>
  <si>
    <t>Chandelure</t>
  </si>
  <si>
    <t>Axew</t>
  </si>
  <si>
    <t>Fraxure</t>
  </si>
  <si>
    <t>Haxorus</t>
  </si>
  <si>
    <t>Cryogonal</t>
  </si>
  <si>
    <t>Golett</t>
  </si>
  <si>
    <t>Golurk</t>
  </si>
  <si>
    <t>Deino</t>
  </si>
  <si>
    <t>Zweilous</t>
  </si>
  <si>
    <t>Hydreigon</t>
  </si>
  <si>
    <t>Name</t>
  </si>
  <si>
    <t>Distance / candy</t>
  </si>
  <si>
    <t>candies needed</t>
  </si>
  <si>
    <t>special event factor:</t>
  </si>
  <si>
    <t>Buddy Candy Distance Reference Table</t>
  </si>
  <si>
    <t>km regular</t>
  </si>
  <si>
    <t>km special</t>
  </si>
  <si>
    <t>diglett</t>
  </si>
  <si>
    <t>poliwag</t>
  </si>
  <si>
    <t>tentacool</t>
  </si>
  <si>
    <t>geodude</t>
  </si>
  <si>
    <t>seel</t>
  </si>
  <si>
    <t>gastly</t>
  </si>
  <si>
    <t>rhyhorn</t>
  </si>
  <si>
    <t>snubbull</t>
  </si>
  <si>
    <t>swinub</t>
  </si>
  <si>
    <t>mudkip</t>
  </si>
  <si>
    <t>duskull</t>
  </si>
  <si>
    <t>skorupi</t>
  </si>
  <si>
    <t>hippopotas</t>
  </si>
  <si>
    <t>finneon</t>
  </si>
  <si>
    <t>snover</t>
  </si>
  <si>
    <t>darumaka</t>
  </si>
  <si>
    <t>litwick</t>
  </si>
  <si>
    <t>Solosis</t>
  </si>
  <si>
    <t>km @ excited</t>
  </si>
  <si>
    <t>kabuto</t>
  </si>
  <si>
    <t>Pokémon</t>
  </si>
  <si>
    <t>km/Candy</t>
  </si>
  <si>
    <t>Ninetales</t>
  </si>
  <si>
    <t>Articuno</t>
  </si>
  <si>
    <t>Zapdos</t>
  </si>
  <si>
    <t>Moltres</t>
  </si>
  <si>
    <t>Mewtwo</t>
  </si>
  <si>
    <t>Mew</t>
  </si>
  <si>
    <t>Meganium</t>
  </si>
  <si>
    <t>Typhlosion</t>
  </si>
  <si>
    <t>Qwilfish</t>
  </si>
  <si>
    <t>Donphan</t>
  </si>
  <si>
    <t>Raikou</t>
  </si>
  <si>
    <t>Entei</t>
  </si>
  <si>
    <t>Suicune</t>
  </si>
  <si>
    <t>Lugia</t>
  </si>
  <si>
    <t>Ho-Oh</t>
  </si>
  <si>
    <t>Celebi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</si>
  <si>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</si>
  <si>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</si>
  <si>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</si>
  <si>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</si>
  <si>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</si>
  <si>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</si>
  <si>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</si>
  <si>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</si>
  <si>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</si>
  <si>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</si>
  <si>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skitty</t>
  </si>
  <si>
    <t>Kricketot</t>
  </si>
  <si>
    <t>Burmy</t>
  </si>
  <si>
    <t>Wormadam</t>
  </si>
  <si>
    <t>Tranquill</t>
  </si>
  <si>
    <t>Swoobat</t>
  </si>
  <si>
    <t>Sewaddle</t>
  </si>
  <si>
    <t>Swadloon</t>
  </si>
  <si>
    <t>Leavanny</t>
  </si>
  <si>
    <t>Cottonee</t>
  </si>
  <si>
    <t>Whimsicott</t>
  </si>
  <si>
    <t>Petilil</t>
  </si>
  <si>
    <t>Lilligant</t>
  </si>
  <si>
    <t>Basculin</t>
  </si>
  <si>
    <t>Crustle</t>
  </si>
  <si>
    <t>Emolga</t>
  </si>
  <si>
    <t>Tynamo</t>
  </si>
  <si>
    <t>Eelektrik</t>
  </si>
  <si>
    <t>Eelektross</t>
  </si>
  <si>
    <t>Cherubi</t>
  </si>
  <si>
    <t>Shellos</t>
  </si>
  <si>
    <t>Gastrodon</t>
  </si>
  <si>
    <t>Buneary</t>
  </si>
  <si>
    <t>Lickilicky</t>
  </si>
  <si>
    <t>Munna</t>
  </si>
  <si>
    <t>Musharna</t>
  </si>
  <si>
    <t>Gothita</t>
  </si>
  <si>
    <t>Gothorita</t>
  </si>
  <si>
    <t>Gothitelle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</si>
  <si>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</si>
  <si>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</si>
  <si>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</si>
  <si>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</si>
  <si>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</si>
  <si>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</si>
  <si>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</si>
  <si>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</si>
  <si>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</si>
  <si>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Frillish</t>
  </si>
  <si>
    <t>Jellicent</t>
  </si>
  <si>
    <t>Elgyem</t>
  </si>
  <si>
    <t>Beheeyem</t>
  </si>
  <si>
    <t>Mienfoo</t>
  </si>
  <si>
    <t>Mienshao</t>
  </si>
  <si>
    <t>Bouffalant</t>
  </si>
  <si>
    <t>Drifloon</t>
  </si>
  <si>
    <t>Rotom</t>
  </si>
  <si>
    <t>Sandile</t>
  </si>
  <si>
    <t>Krokorok</t>
  </si>
  <si>
    <t>Krookodile</t>
  </si>
  <si>
    <t>Zorua</t>
  </si>
  <si>
    <t>Zoroark</t>
  </si>
  <si>
    <t>Stunfisk</t>
  </si>
  <si>
    <t>Druddigon</t>
  </si>
  <si>
    <t>Pawniard</t>
  </si>
  <si>
    <t>Bisharp</t>
  </si>
  <si>
    <t>Rufflet</t>
  </si>
  <si>
    <t>Braviary</t>
  </si>
  <si>
    <t>Vullaby</t>
  </si>
  <si>
    <t>Mandibuzz</t>
  </si>
  <si>
    <t>Larvesta</t>
  </si>
  <si>
    <t>Volcarona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</si>
  <si>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</si>
  <si>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</si>
  <si>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</si>
  <si>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</si>
  <si>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</si>
  <si>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</si>
  <si>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</si>
  <si>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</si>
  <si>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</si>
  <si>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</si>
  <si>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</si>
  <si>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</si>
  <si>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</si>
  <si>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</si>
  <si>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</si>
  <si>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</si>
  <si>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</si>
  <si>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</si>
  <si>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</si>
  <si>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</si>
  <si>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</si>
  <si>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</si>
  <si>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</si>
  <si>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</si>
  <si>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</si>
  <si>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</si>
  <si>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</si>
  <si>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Meltan</t>
  </si>
  <si>
    <t>Melmetal</t>
  </si>
  <si>
    <t>lairon</t>
  </si>
  <si>
    <t>metapod</t>
  </si>
  <si>
    <t>squirtle</t>
  </si>
  <si>
    <t>name</t>
  </si>
  <si>
    <t>level</t>
  </si>
  <si>
    <t>cp</t>
  </si>
  <si>
    <t>cp, evo1 0%</t>
  </si>
  <si>
    <t>cp, evo2 0%</t>
  </si>
  <si>
    <t>cp, evo2 100%</t>
  </si>
  <si>
    <t>cp, evo1 100%</t>
  </si>
  <si>
    <t>cp evo1</t>
  </si>
  <si>
    <t>cp evo2</t>
  </si>
  <si>
    <t>GL dust</t>
  </si>
  <si>
    <t>GL dust evo1</t>
  </si>
  <si>
    <t>GL dust evo2</t>
  </si>
  <si>
    <t>UL dust evo2</t>
  </si>
  <si>
    <t>cp, 0%</t>
  </si>
  <si>
    <t>cp, 100%</t>
  </si>
  <si>
    <t>NA</t>
  </si>
  <si>
    <t>raticate</t>
  </si>
  <si>
    <t>nidoran f</t>
  </si>
  <si>
    <t>grimer</t>
  </si>
  <si>
    <t>nidorina</t>
  </si>
  <si>
    <t>nidoqueen</t>
  </si>
  <si>
    <t>nidoran m</t>
  </si>
  <si>
    <t>cur</t>
  </si>
  <si>
    <t>cur = current;   blank = either not worth it, or doesn't apply</t>
  </si>
  <si>
    <t>nidoking</t>
  </si>
  <si>
    <t>Level</t>
  </si>
  <si>
    <t>Multiplier</t>
  </si>
  <si>
    <t>Pokemon GO  Bulbasaur</t>
  </si>
  <si>
    <t>Grass typeGrassPoison typePoison</t>
  </si>
  <si>
    <t>Pokemon GO  Ivysaur</t>
  </si>
  <si>
    <t>Pokemon GO  Venusaur</t>
  </si>
  <si>
    <t>Pokemon GO  Charmander</t>
  </si>
  <si>
    <t>Fire typeFire</t>
  </si>
  <si>
    <t>Pokemon GO  Charmeleon</t>
  </si>
  <si>
    <t>Pokemon GO  Charizard</t>
  </si>
  <si>
    <t>Fire typeFireFlying typeFlying</t>
  </si>
  <si>
    <t>Pokemon GO  Squirtle</t>
  </si>
  <si>
    <t>Water typeWater</t>
  </si>
  <si>
    <t>Pokemon GO  Wartortle</t>
  </si>
  <si>
    <t>Pokemon GO  Blastoise</t>
  </si>
  <si>
    <t>Pokemon GO  Caterpie</t>
  </si>
  <si>
    <t>Bug typeBug</t>
  </si>
  <si>
    <t>Pokemon GO  Metapod</t>
  </si>
  <si>
    <t>Pokemon GO  Butterfree</t>
  </si>
  <si>
    <t>Bug typeBugFlying typeFlying</t>
  </si>
  <si>
    <t>Pokemon GO  Weedle</t>
  </si>
  <si>
    <t>Bug typeBugPoison typePoison</t>
  </si>
  <si>
    <t>Pokemon GO  Kakuna</t>
  </si>
  <si>
    <t>Pokemon GO  Beedrill</t>
  </si>
  <si>
    <t>Pokemon GO  Pidgey</t>
  </si>
  <si>
    <t>Normal typeNormalFlying typeFlying</t>
  </si>
  <si>
    <t>Pokemon GO  Pidgeotto</t>
  </si>
  <si>
    <t>Pokemon GO  Pidgeot</t>
  </si>
  <si>
    <t>Pokemon GO  Rattata</t>
  </si>
  <si>
    <t>Normal typeNormal</t>
  </si>
  <si>
    <t>Pokemon GO Alola Rattata</t>
  </si>
  <si>
    <t>Rattata (Alola)</t>
  </si>
  <si>
    <t>Dark typeDarkNormal typeNormal</t>
  </si>
  <si>
    <t>Pokemon GO  Raticate</t>
  </si>
  <si>
    <t>Pokemon GO Alola Raticate</t>
  </si>
  <si>
    <t>Raticate (Alola)</t>
  </si>
  <si>
    <t>Pokemon GO  Spearow</t>
  </si>
  <si>
    <t>Pokemon GO  Fearow</t>
  </si>
  <si>
    <t>Pokemon GO  Ekans</t>
  </si>
  <si>
    <t>Poison typePoison</t>
  </si>
  <si>
    <t>Pokemon GO  Arbok</t>
  </si>
  <si>
    <t>Pokemon GO  Pikachu</t>
  </si>
  <si>
    <t>Electric typeElectric</t>
  </si>
  <si>
    <t>Pokemon GO  Raichu</t>
  </si>
  <si>
    <t>Pokemon GO Alola Raichu</t>
  </si>
  <si>
    <t>Raichu (Alola)</t>
  </si>
  <si>
    <t>Electric typeElectricPsychic typePsychic</t>
  </si>
  <si>
    <t>Pokemon GO  Sandshrew</t>
  </si>
  <si>
    <t>Ground typeGround</t>
  </si>
  <si>
    <t>Pokemon GO Alola Sandshrew</t>
  </si>
  <si>
    <t>Sandshrew (Alola)</t>
  </si>
  <si>
    <t>Ice typeIceSteel typeSteel</t>
  </si>
  <si>
    <t>Pokemon GO  Sandslash</t>
  </si>
  <si>
    <t>Pokemon GO Alola Sandslash</t>
  </si>
  <si>
    <t>Sandslash (Alola)</t>
  </si>
  <si>
    <t>Pokemon GO  Nidoran♀</t>
  </si>
  <si>
    <t>Pokemon GO  Nidorina</t>
  </si>
  <si>
    <t>Pokemon GO  Nidoqueen</t>
  </si>
  <si>
    <t>Poison typePoisonGround typeGround</t>
  </si>
  <si>
    <t>Pokemon GO  Nidoran♂</t>
  </si>
  <si>
    <t>Pokemon GO  Nidorino</t>
  </si>
  <si>
    <t>Pokemon GO  Nidoking</t>
  </si>
  <si>
    <t>Pokemon GO  Clefairy</t>
  </si>
  <si>
    <t>Fairy typeFairy</t>
  </si>
  <si>
    <t>Pokemon GO  Clefable</t>
  </si>
  <si>
    <t>Pokemon GO  Vulpix</t>
  </si>
  <si>
    <t>Pokemon GO Alola Vulpix</t>
  </si>
  <si>
    <t>Vulpix (Alola)</t>
  </si>
  <si>
    <t>Ice typeIce</t>
  </si>
  <si>
    <t>Pokemon GO  Ninetales</t>
  </si>
  <si>
    <t>Pokemon GO Alola Ninetales</t>
  </si>
  <si>
    <t>Ninetales (Alola)</t>
  </si>
  <si>
    <t>Ice typeIceFairy typeFairy</t>
  </si>
  <si>
    <t>Pokemon GO  Jigglypuff</t>
  </si>
  <si>
    <t>Normal typeNormalFairy typeFairy</t>
  </si>
  <si>
    <t>Pokemon GO  Wigglytuff</t>
  </si>
  <si>
    <t>Pokemon GO  Zubat</t>
  </si>
  <si>
    <t>Poison typePoisonFlying typeFlying</t>
  </si>
  <si>
    <t>Pokemon GO  Golbat</t>
  </si>
  <si>
    <t>Pokemon GO  Oddish</t>
  </si>
  <si>
    <t>Pokemon GO  Gloom</t>
  </si>
  <si>
    <t>Pokemon GO  Vileplume</t>
  </si>
  <si>
    <t>Pokemon GO  Paras</t>
  </si>
  <si>
    <t>Bug typeBugGrass typeGrass</t>
  </si>
  <si>
    <t>Pokemon GO  Parasect</t>
  </si>
  <si>
    <t>Pokemon GO  Venonat</t>
  </si>
  <si>
    <t>Pokemon GO  Venomoth</t>
  </si>
  <si>
    <t>Pokemon GO  Diglett</t>
  </si>
  <si>
    <t>Pokemon GO Alola Diglett</t>
  </si>
  <si>
    <t>Diglett (Alola)</t>
  </si>
  <si>
    <t>Ground typeGroundSteel typeSteel</t>
  </si>
  <si>
    <t>Pokemon GO  Dugtrio</t>
  </si>
  <si>
    <t>Pokemon GO Alola Dugtrio</t>
  </si>
  <si>
    <t>Dugtrio (Alola)</t>
  </si>
  <si>
    <t>Pokemon GO  Meowth</t>
  </si>
  <si>
    <t>Pokemon GO Alola Meowth</t>
  </si>
  <si>
    <t>Meowth (Alola)</t>
  </si>
  <si>
    <t>Dark typeDark</t>
  </si>
  <si>
    <t>Pokemon GO  Persian</t>
  </si>
  <si>
    <t>Pokemon GO Alola Persian</t>
  </si>
  <si>
    <t>Persian (Alola)</t>
  </si>
  <si>
    <t>Pokemon GO  Psyduck</t>
  </si>
  <si>
    <t>Pokemon GO  Golduck</t>
  </si>
  <si>
    <t>Pokemon GO  Mankey</t>
  </si>
  <si>
    <t>Fighting typeFighting</t>
  </si>
  <si>
    <t>Pokemon GO  Primeape</t>
  </si>
  <si>
    <t>Pokemon GO  Growlithe</t>
  </si>
  <si>
    <t>Pokemon GO  Arcanine</t>
  </si>
  <si>
    <t>Pokemon GO  Poliwag</t>
  </si>
  <si>
    <t>Pokemon GO  Poliwhirl</t>
  </si>
  <si>
    <t>Pokemon GO  Poliwrath</t>
  </si>
  <si>
    <t>Water typeWaterFighting typeFighting</t>
  </si>
  <si>
    <t>Pokemon GO  Abra</t>
  </si>
  <si>
    <t>Psychic typePsychic</t>
  </si>
  <si>
    <t>Pokemon GO  Kadabra</t>
  </si>
  <si>
    <t>Pokemon GO  Alakazam</t>
  </si>
  <si>
    <t>Pokemon GO  Machop</t>
  </si>
  <si>
    <t>Pokemon GO  Machoke</t>
  </si>
  <si>
    <t>Pokemon GO  Machamp</t>
  </si>
  <si>
    <t>Pokemon GO  Bellsprout</t>
  </si>
  <si>
    <t>Pokemon GO  Weepinbell</t>
  </si>
  <si>
    <t>Pokemon GO  Victreebel</t>
  </si>
  <si>
    <t>Pokemon GO  Tentacool</t>
  </si>
  <si>
    <t>Water typeWaterPoison typePoison</t>
  </si>
  <si>
    <t>Pokemon GO  Tentacruel</t>
  </si>
  <si>
    <t>Pokemon GO  Geodude</t>
  </si>
  <si>
    <t>Rock typeRockGround typeGround</t>
  </si>
  <si>
    <t>Pokemon GO Alola Geodude</t>
  </si>
  <si>
    <t>Geodude (Alola)</t>
  </si>
  <si>
    <t>Rock typeRockElectric typeElectric</t>
  </si>
  <si>
    <t>Pokemon GO  Graveler</t>
  </si>
  <si>
    <t>Pokemon GO Alola Graveler</t>
  </si>
  <si>
    <t>Graveler (Alola)</t>
  </si>
  <si>
    <t>Pokemon GO  Golem</t>
  </si>
  <si>
    <t>Pokemon GO Alola Golem</t>
  </si>
  <si>
    <t>Golem (Alola)</t>
  </si>
  <si>
    <t>Pokemon GO  Ponyta</t>
  </si>
  <si>
    <t>Pokemon GO  Rapidash</t>
  </si>
  <si>
    <t>Pokemon GO  Slowpoke</t>
  </si>
  <si>
    <t>Water typeWaterPsychic typePsychic</t>
  </si>
  <si>
    <t>Pokemon GO  Slowbro</t>
  </si>
  <si>
    <t>Pokemon GO  Magnemite</t>
  </si>
  <si>
    <t>Electric typeElectricSteel typeSteel</t>
  </si>
  <si>
    <t>Pokemon GO  Magneton</t>
  </si>
  <si>
    <t>Pokemon GO  Farfetch'd</t>
  </si>
  <si>
    <t>Pokemon GO  Doduo</t>
  </si>
  <si>
    <t>Pokemon GO  Dodrio</t>
  </si>
  <si>
    <t>Pokemon GO  Seel</t>
  </si>
  <si>
    <t>Pokemon GO  Dewgong</t>
  </si>
  <si>
    <t>Water typeWaterIce typeIce</t>
  </si>
  <si>
    <t>Pokemon GO  Grimer</t>
  </si>
  <si>
    <t>Pokemon GO Alola Grimer</t>
  </si>
  <si>
    <t>Grimer (Alola)</t>
  </si>
  <si>
    <t>Poison typePoisonDark typeDark</t>
  </si>
  <si>
    <t>Pokemon GO  Muk</t>
  </si>
  <si>
    <t>Pokemon GO Alola Muk</t>
  </si>
  <si>
    <t>Muk (Alola)</t>
  </si>
  <si>
    <t>Pokemon GO  Shellder</t>
  </si>
  <si>
    <t>Pokemon GO  Cloyster</t>
  </si>
  <si>
    <t>Pokemon GO  Gastly</t>
  </si>
  <si>
    <t>Ghost typeGhostPoison typePoison</t>
  </si>
  <si>
    <t>Pokemon GO  Haunter</t>
  </si>
  <si>
    <t>Pokemon GO  Gengar</t>
  </si>
  <si>
    <t>Pokemon GO  Onix</t>
  </si>
  <si>
    <t>Pokemon GO  Drowzee</t>
  </si>
  <si>
    <t>Pokemon GO  Hypno</t>
  </si>
  <si>
    <t>Pokemon GO  Krabby</t>
  </si>
  <si>
    <t>Pokemon GO  Kingler</t>
  </si>
  <si>
    <t>Pokemon GO  Voltorb</t>
  </si>
  <si>
    <t>Pokemon GO  Electrode</t>
  </si>
  <si>
    <t>Pokemon GO  Exeggcute</t>
  </si>
  <si>
    <t>Grass typeGrassPsychic typePsychic</t>
  </si>
  <si>
    <t>Pokemon GO  Exeggutor</t>
  </si>
  <si>
    <t>Pokemon GO Alola Exeggutor</t>
  </si>
  <si>
    <t>Exeggutor (Alola)</t>
  </si>
  <si>
    <t>Grass typeGrassDragon typeDragon</t>
  </si>
  <si>
    <t>Pokemon GO  Cubone</t>
  </si>
  <si>
    <t>Pokemon GO  Marowak</t>
  </si>
  <si>
    <t>Pokemon GO Alola Marowak</t>
  </si>
  <si>
    <t>Marowak (Alola)</t>
  </si>
  <si>
    <t>Fire typeFireGhost typeGhost</t>
  </si>
  <si>
    <t>Pokemon GO  Hitmonlee</t>
  </si>
  <si>
    <t>Pokemon GO  Hitmonchan</t>
  </si>
  <si>
    <t>Pokemon GO  Lickitung</t>
  </si>
  <si>
    <t>Pokemon GO  Koffing</t>
  </si>
  <si>
    <t>Pokemon GO  Weezing</t>
  </si>
  <si>
    <t>Pokemon GO  Rhyhorn</t>
  </si>
  <si>
    <t>Ground typeGroundRock typeRock</t>
  </si>
  <si>
    <t>Pokemon GO  Rhydon</t>
  </si>
  <si>
    <t>Pokemon GO  Chansey</t>
  </si>
  <si>
    <t>Pokemon GO  Tangela</t>
  </si>
  <si>
    <t>Grass typeGrass</t>
  </si>
  <si>
    <t>Pokemon GO  Kangaskhan</t>
  </si>
  <si>
    <t>Pokemon GO  Horsea</t>
  </si>
  <si>
    <t>Pokemon GO  Seadra</t>
  </si>
  <si>
    <t>Pokemon GO  Goldeen</t>
  </si>
  <si>
    <t>Pokemon GO  Seaking</t>
  </si>
  <si>
    <t>Pokemon GO  Staryu</t>
  </si>
  <si>
    <t>Pokemon GO  Starmie</t>
  </si>
  <si>
    <t>Pokemon GO  Mr. Mime</t>
  </si>
  <si>
    <t>Psychic typePsychicFairy typeFairy</t>
  </si>
  <si>
    <t>Pokemon GO  Scyther</t>
  </si>
  <si>
    <t>Pokemon GO  Jynx</t>
  </si>
  <si>
    <t>Ice typeIcePsychic typePsychic</t>
  </si>
  <si>
    <t>Pokemon GO  Electabuzz</t>
  </si>
  <si>
    <t>Pokemon GO  Magmar</t>
  </si>
  <si>
    <t>Pokemon GO  Pinsir</t>
  </si>
  <si>
    <t>Pokemon GO  Tauros</t>
  </si>
  <si>
    <t>Pokemon GO  Magikarp</t>
  </si>
  <si>
    <t>Pokemon GO  Gyarados</t>
  </si>
  <si>
    <t>Water typeWaterFlying typeFlying</t>
  </si>
  <si>
    <t>Pokemon GO  Lapras</t>
  </si>
  <si>
    <t>Pokemon GO  Ditto</t>
  </si>
  <si>
    <t>Ditto</t>
  </si>
  <si>
    <t>Pokemon GO  Eevee</t>
  </si>
  <si>
    <t>Pokemon GO  Vaporeon</t>
  </si>
  <si>
    <t>Pokemon GO  Jolteon</t>
  </si>
  <si>
    <t>Pokemon GO  Flareon</t>
  </si>
  <si>
    <t>Pokemon GO  Porygon</t>
  </si>
  <si>
    <t>Pokemon GO  Omanyte</t>
  </si>
  <si>
    <t>Rock typeRockWater typeWater</t>
  </si>
  <si>
    <t>Pokemon GO  Omastar</t>
  </si>
  <si>
    <t>Pokemon GO  Kabuto</t>
  </si>
  <si>
    <t>Pokemon GO  Kabutops</t>
  </si>
  <si>
    <t>Pokemon GO  Aerodactyl</t>
  </si>
  <si>
    <t>Rock typeRockFlying typeFlying</t>
  </si>
  <si>
    <t>Pokemon GO  Snorlax</t>
  </si>
  <si>
    <t>Pokemon GO  Articuno</t>
  </si>
  <si>
    <t>Ice typeIceFlying typeFlying</t>
  </si>
  <si>
    <t>Pokemon GO  Zapdos</t>
  </si>
  <si>
    <t>Electric typeElectricFlying typeFlying</t>
  </si>
  <si>
    <t>Pokemon GO  Moltres</t>
  </si>
  <si>
    <t>Pokemon GO  Dratini</t>
  </si>
  <si>
    <t>Dragon typeDragon</t>
  </si>
  <si>
    <t>Pokemon GO  Dragonair</t>
  </si>
  <si>
    <t>Pokemon GO  Dragonite</t>
  </si>
  <si>
    <t>Dragon typeDragonFlying typeFlying</t>
  </si>
  <si>
    <t>Pokemon GO  Mewtwo</t>
  </si>
  <si>
    <t>Pokemon GO Armored Mewtwo</t>
  </si>
  <si>
    <t>Mewtwo (Armored)</t>
  </si>
  <si>
    <t>Pokemon GO  Mew</t>
  </si>
  <si>
    <t>Pokemon GO  Chikorita</t>
  </si>
  <si>
    <t>Pokemon GO  Bayleef</t>
  </si>
  <si>
    <t>Pokemon GO  Meganium</t>
  </si>
  <si>
    <t>Pokemon GO  Cyndaquil</t>
  </si>
  <si>
    <t>Pokemon GO  Quilava</t>
  </si>
  <si>
    <t>Pokemon GO  Typhlosion</t>
  </si>
  <si>
    <t>Pokemon GO  Totodile</t>
  </si>
  <si>
    <t>Pokemon GO  Croconaw</t>
  </si>
  <si>
    <t>Pokemon GO  Feraligatr</t>
  </si>
  <si>
    <t>Pokemon GO  Sentret</t>
  </si>
  <si>
    <t>Pokemon GO  Furret</t>
  </si>
  <si>
    <t>Pokemon GO  Hoothoot</t>
  </si>
  <si>
    <t>Pokemon GO  Noctowl</t>
  </si>
  <si>
    <t>Pokemon GO  Ledyba</t>
  </si>
  <si>
    <t>Pokemon GO  Ledian</t>
  </si>
  <si>
    <t>Pokemon GO  Spinarak</t>
  </si>
  <si>
    <t>Pokemon GO  Ariados</t>
  </si>
  <si>
    <t>Pokemon GO  Crobat</t>
  </si>
  <si>
    <t>Pokemon GO  Chinchou</t>
  </si>
  <si>
    <t>Water typeWaterElectric typeElectric</t>
  </si>
  <si>
    <t>Pokemon GO  Lanturn</t>
  </si>
  <si>
    <t>Pokemon GO  Pichu</t>
  </si>
  <si>
    <t>Pokemon GO  Cleffa</t>
  </si>
  <si>
    <t>Pokemon GO  Igglybuff</t>
  </si>
  <si>
    <t>Pokemon GO  Togepi</t>
  </si>
  <si>
    <t>Pokemon GO  Togetic</t>
  </si>
  <si>
    <t>Fairy typeFairyFlying typeFlying</t>
  </si>
  <si>
    <t>Pokemon GO  Natu</t>
  </si>
  <si>
    <t>Psychic typePsychicFlying typeFlying</t>
  </si>
  <si>
    <t>Pokemon GO  Xatu</t>
  </si>
  <si>
    <t>Pokemon GO  Mareep</t>
  </si>
  <si>
    <t>Pokemon GO  Flaaffy</t>
  </si>
  <si>
    <t>Pokemon GO  Ampharos</t>
  </si>
  <si>
    <t>Pokemon GO  Bellossom</t>
  </si>
  <si>
    <t>Pokemon GO  Marill</t>
  </si>
  <si>
    <t>Water typeWaterFairy typeFairy</t>
  </si>
  <si>
    <t>Pokemon GO  Azumarill</t>
  </si>
  <si>
    <t>Pokemon GO  Sudowoodo</t>
  </si>
  <si>
    <t>Rock typeRock</t>
  </si>
  <si>
    <t>Pokemon GO  Politoed</t>
  </si>
  <si>
    <t>Pokemon GO  Hoppip</t>
  </si>
  <si>
    <t>Grass typeGrassFlying typeFlying</t>
  </si>
  <si>
    <t>Pokemon GO  Skiploom</t>
  </si>
  <si>
    <t>Pokemon GO  Jumpluff</t>
  </si>
  <si>
    <t>Pokemon GO  Aipom</t>
  </si>
  <si>
    <t>Pokemon GO  Sunkern</t>
  </si>
  <si>
    <t>Pokemon GO  Sunflora</t>
  </si>
  <si>
    <t>Pokemon GO  Yanma</t>
  </si>
  <si>
    <t>Pokemon GO  Wooper</t>
  </si>
  <si>
    <t>Water typeWaterGround typeGround</t>
  </si>
  <si>
    <t>Pokemon GO  Quagsire</t>
  </si>
  <si>
    <t>Pokemon GO  Espeon</t>
  </si>
  <si>
    <t>Pokemon GO  Umbreon</t>
  </si>
  <si>
    <t>Pokemon GO  Murkrow</t>
  </si>
  <si>
    <t>Dark typeDarkFlying typeFlying</t>
  </si>
  <si>
    <t>Pokemon GO  Slowking</t>
  </si>
  <si>
    <t>Pokemon GO  Misdreavus</t>
  </si>
  <si>
    <t>Ghost typeGhost</t>
  </si>
  <si>
    <t>Pokemon GO  Unown</t>
  </si>
  <si>
    <t>Pokemon GO  Wobbuffet</t>
  </si>
  <si>
    <t>Pokemon GO  Girafarig</t>
  </si>
  <si>
    <t>Normal typeNormalPsychic typePsychic</t>
  </si>
  <si>
    <t>Pokemon GO  Pineco</t>
  </si>
  <si>
    <t>Pokemon GO  Forretress</t>
  </si>
  <si>
    <t>Bug typeBugSteel typeSteel</t>
  </si>
  <si>
    <t>Pokemon GO  Dunsparce</t>
  </si>
  <si>
    <t>Pokemon GO  Gligar</t>
  </si>
  <si>
    <t>Ground typeGroundFlying typeFlying</t>
  </si>
  <si>
    <t>Pokemon GO  Steelix</t>
  </si>
  <si>
    <t>Steel typeSteelGround typeGround</t>
  </si>
  <si>
    <t>Pokemon GO  Snubbull</t>
  </si>
  <si>
    <t>Pokemon GO  Granbull</t>
  </si>
  <si>
    <t>Pokemon GO  Qwilfish</t>
  </si>
  <si>
    <t>Pokemon GO  Scizor</t>
  </si>
  <si>
    <t>Pokemon GO  Shuckle</t>
  </si>
  <si>
    <t>Bug typeBugRock typeRock</t>
  </si>
  <si>
    <t>Pokemon GO  Heracross</t>
  </si>
  <si>
    <t>Bug typeBugFighting typeFighting</t>
  </si>
  <si>
    <t>Pokemon GO  Sneasel</t>
  </si>
  <si>
    <t>Dark typeDarkIce typeIce</t>
  </si>
  <si>
    <t>Pokemon GO  Teddiursa</t>
  </si>
  <si>
    <t>Pokemon GO  Ursaring</t>
  </si>
  <si>
    <t>Pokemon GO  Slugma</t>
  </si>
  <si>
    <t>Pokemon GO  Magcargo</t>
  </si>
  <si>
    <t>Fire typeFireRock typeRock</t>
  </si>
  <si>
    <t>Pokemon GO  Swinub</t>
  </si>
  <si>
    <t>Ice typeIceGround typeGround</t>
  </si>
  <si>
    <t>Pokemon GO  Piloswine</t>
  </si>
  <si>
    <t>Pokemon GO  Corsola</t>
  </si>
  <si>
    <t>Water typeWaterRock typeRock</t>
  </si>
  <si>
    <t>Pokemon GO  Remoraid</t>
  </si>
  <si>
    <t>Pokemon GO  Octillery</t>
  </si>
  <si>
    <t>Pokemon GO  Delibird</t>
  </si>
  <si>
    <t>Pokemon GO  Mantine</t>
  </si>
  <si>
    <t>Pokemon GO  Skarmory</t>
  </si>
  <si>
    <t>Steel typeSteelFlying typeFlying</t>
  </si>
  <si>
    <t>Pokemon GO  Houndour</t>
  </si>
  <si>
    <t>Dark typeDarkFire typeFire</t>
  </si>
  <si>
    <t>Pokemon GO  Houndoom</t>
  </si>
  <si>
    <t>Pokemon GO  Kingdra</t>
  </si>
  <si>
    <t>Water typeWaterDragon typeDragon</t>
  </si>
  <si>
    <t>Pokemon GO  Phanpy</t>
  </si>
  <si>
    <t>Pokemon GO  Donphan</t>
  </si>
  <si>
    <t>Pokemon GO  Porygon2</t>
  </si>
  <si>
    <t>Pokemon GO  Stantler</t>
  </si>
  <si>
    <t>Pokemon GO  Smeargle</t>
  </si>
  <si>
    <t>Pokemon GO  Tyrogue</t>
  </si>
  <si>
    <t>Pokemon GO  Hitmontop</t>
  </si>
  <si>
    <t>Pokemon GO  Smoochum</t>
  </si>
  <si>
    <t>Pokemon GO  Elekid</t>
  </si>
  <si>
    <t>Pokemon GO  Magby</t>
  </si>
  <si>
    <t>Pokemon GO  Miltank</t>
  </si>
  <si>
    <t>Pokemon GO  Blissey</t>
  </si>
  <si>
    <t>Pokemon GO  Raikou</t>
  </si>
  <si>
    <t>Pokemon GO  Entei</t>
  </si>
  <si>
    <t>Pokemon GO  Suicune</t>
  </si>
  <si>
    <t>Pokemon GO  Larvitar</t>
  </si>
  <si>
    <t>Pokemon GO  Pupitar</t>
  </si>
  <si>
    <t>Pokemon GO  Tyranitar</t>
  </si>
  <si>
    <t>Rock typeRockDark typeDark</t>
  </si>
  <si>
    <t>Pokemon GO  Lugia</t>
  </si>
  <si>
    <t>Pokemon GO  Ho-Oh</t>
  </si>
  <si>
    <t>Pokemon GO  Celebi</t>
  </si>
  <si>
    <t>Psychic typePsychicGrass typeGrass</t>
  </si>
  <si>
    <t>Pokemon GO  Treecko</t>
  </si>
  <si>
    <t>Pokemon GO  Grovyle</t>
  </si>
  <si>
    <t>Pokemon GO  Sceptile</t>
  </si>
  <si>
    <t>Pokemon GO  Torchic</t>
  </si>
  <si>
    <t>Pokemon GO  Combusken</t>
  </si>
  <si>
    <t>Fire typeFireFighting typeFighting</t>
  </si>
  <si>
    <t>Pokemon GO  Blaziken</t>
  </si>
  <si>
    <t>Pokemon GO  Mudkip</t>
  </si>
  <si>
    <t>Pokemon GO  Marshtomp</t>
  </si>
  <si>
    <t>Pokemon GO  Swampert</t>
  </si>
  <si>
    <t>Pokemon GO  Poochyena</t>
  </si>
  <si>
    <t>Pokemon GO  Mightyena</t>
  </si>
  <si>
    <t>Pokemon GO  Zigzagoon</t>
  </si>
  <si>
    <t>Pokemon GO  Linoone</t>
  </si>
  <si>
    <t>Pokemon GO  Wurmple</t>
  </si>
  <si>
    <t>Pokemon GO  Silcoon</t>
  </si>
  <si>
    <t>Pokemon GO  Beautifly</t>
  </si>
  <si>
    <t>Pokemon GO  Cascoon</t>
  </si>
  <si>
    <t>Pokemon GO  Dustox</t>
  </si>
  <si>
    <t>Pokemon GO  Lotad</t>
  </si>
  <si>
    <t>Water typeWaterGrass typeGrass</t>
  </si>
  <si>
    <t>Pokemon GO  Lombre</t>
  </si>
  <si>
    <t>Pokemon GO  Ludicolo</t>
  </si>
  <si>
    <t>Pokemon GO  Seedot</t>
  </si>
  <si>
    <t>Pokemon GO  Nuzleaf</t>
  </si>
  <si>
    <t>Grass typeGrassDark typeDark</t>
  </si>
  <si>
    <t>Pokemon GO  Shiftry</t>
  </si>
  <si>
    <t>Pokemon GO  Taillow</t>
  </si>
  <si>
    <t>Pokemon GO  Swellow</t>
  </si>
  <si>
    <t>Pokemon GO  Wingull</t>
  </si>
  <si>
    <t>Pokemon GO  Pelipper</t>
  </si>
  <si>
    <t>Pokemon GO  Ralts</t>
  </si>
  <si>
    <t>Pokemon GO  Kirlia</t>
  </si>
  <si>
    <t>Pokemon GO  Gardevoir</t>
  </si>
  <si>
    <t>Pokemon GO  Surskit</t>
  </si>
  <si>
    <t>Bug typeBugWater typeWater</t>
  </si>
  <si>
    <t>Pokemon GO  Masquerain</t>
  </si>
  <si>
    <t>Pokemon GO  Shroomish</t>
  </si>
  <si>
    <t>Pokemon GO  Breloom</t>
  </si>
  <si>
    <t>Grass typeGrassFighting typeFighting</t>
  </si>
  <si>
    <t>Pokemon GO  Slakoth</t>
  </si>
  <si>
    <t>Pokemon GO  Vigoroth</t>
  </si>
  <si>
    <t>Pokemon GO  Slaking</t>
  </si>
  <si>
    <t>Pokemon GO  Nincada</t>
  </si>
  <si>
    <t>Bug typeBugGround typeGround</t>
  </si>
  <si>
    <t>Pokemon GO  Ninjask</t>
  </si>
  <si>
    <t>Pokemon GO  Shedinja</t>
  </si>
  <si>
    <t>Bug typeBugGhost typeGhost</t>
  </si>
  <si>
    <t>Pokemon GO  Whismur</t>
  </si>
  <si>
    <t>Pokemon GO  Loudred</t>
  </si>
  <si>
    <t>Pokemon GO  Exploud</t>
  </si>
  <si>
    <t>Pokemon GO  Makuhita</t>
  </si>
  <si>
    <t>Pokemon GO  Hariyama</t>
  </si>
  <si>
    <t>Pokemon GO  Azurill</t>
  </si>
  <si>
    <t>Pokemon GO  Nosepass</t>
  </si>
  <si>
    <t>Pokemon GO  Skitty</t>
  </si>
  <si>
    <t>Pokemon GO  Delcatty</t>
  </si>
  <si>
    <t>Pokemon GO  Sableye</t>
  </si>
  <si>
    <t>Dark typeDarkGhost typeGhost</t>
  </si>
  <si>
    <t>Pokemon GO  Mawile</t>
  </si>
  <si>
    <t>Steel typeSteelFairy typeFairy</t>
  </si>
  <si>
    <t>Pokemon GO  Aron</t>
  </si>
  <si>
    <t>Steel typeSteelRock typeRock</t>
  </si>
  <si>
    <t>Pokemon GO  Lairon</t>
  </si>
  <si>
    <t>Pokemon GO  Aggron</t>
  </si>
  <si>
    <t>Pokemon GO  Meditite</t>
  </si>
  <si>
    <t>Fighting typeFightingPsychic typePsychic</t>
  </si>
  <si>
    <t>Pokemon GO  Medicham</t>
  </si>
  <si>
    <t>Pokemon GO  Electrike</t>
  </si>
  <si>
    <t>Pokemon GO  Manectric</t>
  </si>
  <si>
    <t>Pokemon GO  Plusle</t>
  </si>
  <si>
    <t>Pokemon GO  Minun</t>
  </si>
  <si>
    <t>Pokemon GO  Volbeat</t>
  </si>
  <si>
    <t>Pokemon GO  Illumise</t>
  </si>
  <si>
    <t>Pokemon GO  Roselia</t>
  </si>
  <si>
    <t>Pokemon GO  Gulpin</t>
  </si>
  <si>
    <t>Pokemon GO  Swalot</t>
  </si>
  <si>
    <t>Pokemon GO  Carvanha</t>
  </si>
  <si>
    <t>Water typeWaterDark typeDark</t>
  </si>
  <si>
    <t>Pokemon GO  Sharpedo</t>
  </si>
  <si>
    <t>Pokemon GO  Wailmer</t>
  </si>
  <si>
    <t>Pokemon GO  Wailord</t>
  </si>
  <si>
    <t>Pokemon GO  Numel</t>
  </si>
  <si>
    <t>Fire typeFireGround typeGround</t>
  </si>
  <si>
    <t>Pokemon GO  Camerupt</t>
  </si>
  <si>
    <t>Pokemon GO  Torkoal</t>
  </si>
  <si>
    <t>Pokemon GO  Spoink</t>
  </si>
  <si>
    <t>Pokemon GO  Grumpig</t>
  </si>
  <si>
    <t>Pokemon GO  Spinda</t>
  </si>
  <si>
    <t>Pokemon GO  Trapinch</t>
  </si>
  <si>
    <t>Pokemon GO  Vibrava</t>
  </si>
  <si>
    <t>Ground typeGroundDragon typeDragon</t>
  </si>
  <si>
    <t>Pokemon GO  Flygon</t>
  </si>
  <si>
    <t>Pokemon GO  Cacnea</t>
  </si>
  <si>
    <t>Pokemon GO  Cacturne</t>
  </si>
  <si>
    <t>Pokemon GO  Swablu</t>
  </si>
  <si>
    <t>Pokemon GO  Altaria</t>
  </si>
  <si>
    <t>Pokemon GO  Zangoose</t>
  </si>
  <si>
    <t>Pokemon GO  Seviper</t>
  </si>
  <si>
    <t>Pokemon GO  Lunatone</t>
  </si>
  <si>
    <t>Rock typeRockPsychic typePsychic</t>
  </si>
  <si>
    <t>Pokemon GO  Solrock</t>
  </si>
  <si>
    <t>Pokemon GO  Barboach</t>
  </si>
  <si>
    <t>Pokemon GO  Whiscash</t>
  </si>
  <si>
    <t>Pokemon GO  Corphish</t>
  </si>
  <si>
    <t>Pokemon GO  Crawdaunt</t>
  </si>
  <si>
    <t>Pokemon GO  Baltoy</t>
  </si>
  <si>
    <t>Ground typeGroundPsychic typePsychic</t>
  </si>
  <si>
    <t>Pokemon GO  Claydol</t>
  </si>
  <si>
    <t>Pokemon GO  Lileep</t>
  </si>
  <si>
    <t>Rock typeRockGrass typeGrass</t>
  </si>
  <si>
    <t>Pokemon GO  Cradily</t>
  </si>
  <si>
    <t>Pokemon GO  Anorith</t>
  </si>
  <si>
    <t>Rock typeRockBug typeBug</t>
  </si>
  <si>
    <t>Pokemon GO  Armaldo</t>
  </si>
  <si>
    <t>Pokemon GO  Feebas</t>
  </si>
  <si>
    <t>Pokemon GO  Milotic</t>
  </si>
  <si>
    <t>Pokemon GO  Castform</t>
  </si>
  <si>
    <t>Pokemon GO  Turtwig</t>
  </si>
  <si>
    <t>Pokemon GO  Grotle</t>
  </si>
  <si>
    <t>Pokemon GO  Torterra</t>
  </si>
  <si>
    <t>Grass typeGrassGround typeGround</t>
  </si>
  <si>
    <t>Pokemon GO  Chimchar</t>
  </si>
  <si>
    <t>Pokemon GO  Monferno</t>
  </si>
  <si>
    <t>Pokemon GO  Infernape</t>
  </si>
  <si>
    <t>Pokemon GO  Piplup</t>
  </si>
  <si>
    <t>Pokemon GO  Prinplup</t>
  </si>
  <si>
    <t>Pokemon GO  Empoleon</t>
  </si>
  <si>
    <t>Water typeWaterSteel typeSteel</t>
  </si>
  <si>
    <t>Pokemon GO  Starly</t>
  </si>
  <si>
    <t>Pokemon GO  Staravia</t>
  </si>
  <si>
    <t>Pokemon GO  Staraptor</t>
  </si>
  <si>
    <t>Pokemon GO  Bidoof</t>
  </si>
  <si>
    <t>Pokemon GO  Bibarel</t>
  </si>
  <si>
    <t>Normal typeNormalWater typeWater</t>
  </si>
  <si>
    <t>Pokemon GO  Kricketot</t>
  </si>
  <si>
    <t>Pokemon GO  Kricketune</t>
  </si>
  <si>
    <t>Pokemon GO  Shinx</t>
  </si>
  <si>
    <t>Pokemon GO  Luxio</t>
  </si>
  <si>
    <t>Pokemon GO  Luxray</t>
  </si>
  <si>
    <t>Pokemon GO  Budew</t>
  </si>
  <si>
    <t>Pokemon GO  Roserade</t>
  </si>
  <si>
    <t>Pokemon GO  Cranidos</t>
  </si>
  <si>
    <t>Pokemon GO  Rampardos</t>
  </si>
  <si>
    <t>Pokemon GO  Shieldon</t>
  </si>
  <si>
    <t>Rock typeRockSteel typeSteel</t>
  </si>
  <si>
    <t>Pokemon GO  Bastiodon</t>
  </si>
  <si>
    <t>Pokemon GO Plant Burmy</t>
  </si>
  <si>
    <t>Burmy (Plant)</t>
  </si>
  <si>
    <t>Pokemon GO Sandy Burmy</t>
  </si>
  <si>
    <t>Burmy (Sandy)</t>
  </si>
  <si>
    <t>Pokemon GO Trash Burmy</t>
  </si>
  <si>
    <t>Burmy (Trash)</t>
  </si>
  <si>
    <t>Pokemon GO Plant Wormadam</t>
  </si>
  <si>
    <t>Wormadam (Plant)</t>
  </si>
  <si>
    <t>Pokemon GO Sandy Wormadam</t>
  </si>
  <si>
    <t>Wormadam (Sandy)</t>
  </si>
  <si>
    <t>Pokemon GO Trash Wormadam</t>
  </si>
  <si>
    <t>Wormadam (Trash)</t>
  </si>
  <si>
    <t>Pokemon GO  Mothim</t>
  </si>
  <si>
    <t>Pokemon GO  Combee</t>
  </si>
  <si>
    <t>Pokemon GO  Vespiquen</t>
  </si>
  <si>
    <t>Pokemon GO  Pachirisu</t>
  </si>
  <si>
    <t>Pokemon GO  Buizel</t>
  </si>
  <si>
    <t>Pokemon GO  Floatzel</t>
  </si>
  <si>
    <t>Pokemon GO  Cherubi</t>
  </si>
  <si>
    <t>Pokemon GO Overcast Cherrim</t>
  </si>
  <si>
    <t>Cherrim (Overcast)</t>
  </si>
  <si>
    <t>Pokemon GO Sunny Cherim</t>
  </si>
  <si>
    <t>Cherim (Sunny)</t>
  </si>
  <si>
    <t>Pokemon GO East Shellos</t>
  </si>
  <si>
    <t>Shellos (East)</t>
  </si>
  <si>
    <t>Pokemon GO West Shellos</t>
  </si>
  <si>
    <t>Shellos (West)</t>
  </si>
  <si>
    <t>Pokemon GO East Gastrodon</t>
  </si>
  <si>
    <t>Gastrodon (East)</t>
  </si>
  <si>
    <t>Pokemon GO West Gastrodon</t>
  </si>
  <si>
    <t>Gastrodon (West)</t>
  </si>
  <si>
    <t>Pokemon GO  Ambipom</t>
  </si>
  <si>
    <t>Pokemon GO  Drifloon</t>
  </si>
  <si>
    <t>Ghost typeGhostFlying typeFlying</t>
  </si>
  <si>
    <t>Pokemon GO  Drifblim</t>
  </si>
  <si>
    <t>Pokemon GO  Buneary</t>
  </si>
  <si>
    <t>Pokemon GO  Lopunny</t>
  </si>
  <si>
    <t>Pokemon GO  Mismagius</t>
  </si>
  <si>
    <t>Pokemon GO  Honchkrow</t>
  </si>
  <si>
    <t>Pokemon GO  Glameow</t>
  </si>
  <si>
    <t>Pokemon GO  Purugly</t>
  </si>
  <si>
    <t>Pokemon GO  Chingling</t>
  </si>
  <si>
    <t>Pokemon GO  Stunky</t>
  </si>
  <si>
    <t>Pokemon GO  Skuntank</t>
  </si>
  <si>
    <t>Pokemon GO  Bronzor</t>
  </si>
  <si>
    <t>Steel typeSteelPsychic typePsychic</t>
  </si>
  <si>
    <t>Pokemon GO  Bronzong</t>
  </si>
  <si>
    <t>Pokemon GO  Bonsly</t>
  </si>
  <si>
    <t>Pokemon GO  Mime Jr.</t>
  </si>
  <si>
    <t>Pokemon GO  Happiny</t>
  </si>
  <si>
    <t>Pokemon GO  Chatot</t>
  </si>
  <si>
    <t>Pokemon GO  Spiritomb</t>
  </si>
  <si>
    <t>Ghost typeGhostDark typeDark</t>
  </si>
  <si>
    <t>Pokemon GO  Gible</t>
  </si>
  <si>
    <t>Dragon typeDragonGround typeGround</t>
  </si>
  <si>
    <t>Pokemon GO  Gabite</t>
  </si>
  <si>
    <t>Pokemon GO  Garchomp</t>
  </si>
  <si>
    <t>Pokemon GO  Munchlax</t>
  </si>
  <si>
    <t>Pokemon GO  Riolu</t>
  </si>
  <si>
    <t>Pokemon GO  Lucario</t>
  </si>
  <si>
    <t>Fighting typeFightingSteel typeSteel</t>
  </si>
  <si>
    <t>Pokemon GO  Hippopotas</t>
  </si>
  <si>
    <t>Pokemon GO  Hippowdon</t>
  </si>
  <si>
    <t>Pokemon GO  Skorupi</t>
  </si>
  <si>
    <t>Poison typePoisonBug typeBug</t>
  </si>
  <si>
    <t>Pokemon GO  Drapion</t>
  </si>
  <si>
    <t>Pokemon GO  Croagunk</t>
  </si>
  <si>
    <t>Poison typePoisonFighting typeFighting</t>
  </si>
  <si>
    <t>Pokemon GO  Toxicroak</t>
  </si>
  <si>
    <t>Pokemon GO  Carnivine</t>
  </si>
  <si>
    <t>Pokemon GO  Finneon</t>
  </si>
  <si>
    <t>Pokemon GO  Lumineon</t>
  </si>
  <si>
    <t>Pokemon GO  Mantyke</t>
  </si>
  <si>
    <t>Pokemon GO  Snover</t>
  </si>
  <si>
    <t>Grass typeGrassIce typeIce</t>
  </si>
  <si>
    <t>Pokemon GO  Abomasnow</t>
  </si>
  <si>
    <t>Pokemon GO  Weavile</t>
  </si>
  <si>
    <t>Pokemon GO  Magnezone</t>
  </si>
  <si>
    <t>Pokemon GO  Lickilicky</t>
  </si>
  <si>
    <t>Pokemon GO  Rhyperior</t>
  </si>
  <si>
    <t>Pokemon GO  Tangrowth</t>
  </si>
  <si>
    <t>Pokemon GO  Electivire</t>
  </si>
  <si>
    <t>Pokemon GO  Magmortar</t>
  </si>
  <si>
    <t>Pokemon GO  Togekiss</t>
  </si>
  <si>
    <t>Pokemon GO  Yanmega</t>
  </si>
  <si>
    <t>Pokemon GO  Leafeon</t>
  </si>
  <si>
    <t>Pokemon GO  Glaceon</t>
  </si>
  <si>
    <t>Pokemon GO  Gliscor</t>
  </si>
  <si>
    <t>Pokemon GO  Mamoswine</t>
  </si>
  <si>
    <t>Pokemon GO  Porygon-Z</t>
  </si>
  <si>
    <t>Pokemon GO  Gallade</t>
  </si>
  <si>
    <t>Psychic typePsychicFighting typeFighting</t>
  </si>
  <si>
    <t>Pokemon GO  Probopass</t>
  </si>
  <si>
    <t>Pokemon GO  Dusknoir</t>
  </si>
  <si>
    <t>Pokemon GO  Froslass</t>
  </si>
  <si>
    <t>Ice typeIceGhost typeGhost</t>
  </si>
  <si>
    <t>Pokemon GO  Rotom</t>
  </si>
  <si>
    <t>Electric typeElectricGhost typeGhost</t>
  </si>
  <si>
    <t>Rotom (Fan)</t>
  </si>
  <si>
    <t>Rotom (Frost)</t>
  </si>
  <si>
    <t>Rotom (Heat)</t>
  </si>
  <si>
    <t>Rotom (Mow)</t>
  </si>
  <si>
    <t>Rotom (Wash)</t>
  </si>
  <si>
    <t>Giratina (Altered)</t>
  </si>
  <si>
    <t>Giratina (Origin)</t>
  </si>
  <si>
    <t>Shaymin (Land)</t>
  </si>
  <si>
    <t>Shaymin (Sky)</t>
  </si>
  <si>
    <t>Arceus (Bug)</t>
  </si>
  <si>
    <t>Arceus (Dark)</t>
  </si>
  <si>
    <t>Arceus (Dragon)</t>
  </si>
  <si>
    <t>Arceus (Electric)</t>
  </si>
  <si>
    <t>Arceus (Fairy)</t>
  </si>
  <si>
    <t>Arceus (Fighting)</t>
  </si>
  <si>
    <t>Arceus (Fire)</t>
  </si>
  <si>
    <t>Arceus (Flying)</t>
  </si>
  <si>
    <t>Arceus (Ghost)</t>
  </si>
  <si>
    <t>Arceus (Grass)</t>
  </si>
  <si>
    <t>Arceus (Ground)</t>
  </si>
  <si>
    <t>Arceus (Ice)</t>
  </si>
  <si>
    <t>Arceus (Normal)</t>
  </si>
  <si>
    <t>Arceus (Poison)</t>
  </si>
  <si>
    <t>Arceus (Psychic)</t>
  </si>
  <si>
    <t>Arceus (Rock)</t>
  </si>
  <si>
    <t>Arceus (Steel)</t>
  </si>
  <si>
    <t>Arceus (Water)</t>
  </si>
  <si>
    <t>Pokemon GO Fan Rotom</t>
  </si>
  <si>
    <t>Pokemon GO Frost Rotom</t>
  </si>
  <si>
    <t>Electric typeElectricIce typeIce</t>
  </si>
  <si>
    <t>Pokemon GO Heat Rotom</t>
  </si>
  <si>
    <t>Electric typeElectricFire typeFire</t>
  </si>
  <si>
    <t>Pokemon GO Mow Rotom</t>
  </si>
  <si>
    <t>Electric typeElectricGrass typeGrass</t>
  </si>
  <si>
    <t>Pokemon GO Wash Rotom</t>
  </si>
  <si>
    <t>Electric typeElectricWater typeWater</t>
  </si>
  <si>
    <t>Pokemon GO  Uxie</t>
  </si>
  <si>
    <t>Pokemon GO  Mesprit</t>
  </si>
  <si>
    <t>Pokemon GO  Azelf</t>
  </si>
  <si>
    <t>Pokemon GO  Dialga</t>
  </si>
  <si>
    <t>Steel typeSteelDragon typeDragon</t>
  </si>
  <si>
    <t>Pokemon GO  Palkia</t>
  </si>
  <si>
    <t>Pokemon GO  Heatran</t>
  </si>
  <si>
    <t>Fire typeFireSteel typeSteel</t>
  </si>
  <si>
    <t>Pokemon GO  Regigigas</t>
  </si>
  <si>
    <t>Pokemon GO Altered Giratina</t>
  </si>
  <si>
    <t>Ghost typeGhostDragon typeDragon</t>
  </si>
  <si>
    <t>Pokemon GO Origin Giratina</t>
  </si>
  <si>
    <t>Pokemon GO  Cresselia</t>
  </si>
  <si>
    <t>Pokemon GO  Phione</t>
  </si>
  <si>
    <t>Pokemon GO  Manaphy</t>
  </si>
  <si>
    <t>Pokemon GO  Darkrai</t>
  </si>
  <si>
    <t>Pokemon GO Land Shaymin</t>
  </si>
  <si>
    <t>Pokemon GO Sky Shaymin</t>
  </si>
  <si>
    <t>Pokemon GO Bug Arceus</t>
  </si>
  <si>
    <t>Pokemon GO Dark Arceus</t>
  </si>
  <si>
    <t>Pokemon GO Dragon Arceus</t>
  </si>
  <si>
    <t>Pokemon GO Electric Arceus</t>
  </si>
  <si>
    <t>Pokemon GO Fairy Arceus</t>
  </si>
  <si>
    <t>Pokemon GO Fighting Arceus</t>
  </si>
  <si>
    <t>Pokemon GO Fire Arceus</t>
  </si>
  <si>
    <t>Pokemon GO Flying Arceus</t>
  </si>
  <si>
    <t>Flying typeFlying</t>
  </si>
  <si>
    <t>Pokemon GO Ghost Arceus</t>
  </si>
  <si>
    <t>Pokemon GO Grass Arceus</t>
  </si>
  <si>
    <t>Pokemon GO Ground Arceus</t>
  </si>
  <si>
    <t>Pokemon GO Ice Arceus</t>
  </si>
  <si>
    <t>Pokemon GO Normal Arceus</t>
  </si>
  <si>
    <t>Pokemon GO Poison Arceus</t>
  </si>
  <si>
    <t>Pokemon GO Psychic Arceus</t>
  </si>
  <si>
    <t>Pokemon GO Rock Arceus</t>
  </si>
  <si>
    <t>Pokemon GO Steel Arceus</t>
  </si>
  <si>
    <t>Steel typeSteel</t>
  </si>
  <si>
    <t>Pokemon GO Water Arceus</t>
  </si>
  <si>
    <t>Basculin (Blue Striped)</t>
  </si>
  <si>
    <t>Basculin (Red Striped)</t>
  </si>
  <si>
    <t>Darmanitan (Zen)</t>
  </si>
  <si>
    <t>Deerling (Autumn)</t>
  </si>
  <si>
    <t>Deerling (Spring)</t>
  </si>
  <si>
    <t>Deerling (Summer)</t>
  </si>
  <si>
    <t>Deerling (Winter)</t>
  </si>
  <si>
    <t>Sawsbuck (Autumn)</t>
  </si>
  <si>
    <t>Pokemon GO  Victini</t>
  </si>
  <si>
    <t>Psychic typePsychicFire typeFire</t>
  </si>
  <si>
    <t>Pokemon GO  Snivy</t>
  </si>
  <si>
    <t>Pokemon GO  Servine</t>
  </si>
  <si>
    <t>Pokemon GO  Serperior</t>
  </si>
  <si>
    <t>Pokemon GO  Tepig</t>
  </si>
  <si>
    <t>Pokemon GO  Pignite</t>
  </si>
  <si>
    <t>Pokemon GO  Emboar</t>
  </si>
  <si>
    <t>Pokemon GO  Oshawott</t>
  </si>
  <si>
    <t>Pokemon GO  Dewott</t>
  </si>
  <si>
    <t>Pokemon GO  Samurott</t>
  </si>
  <si>
    <t>Pokemon GO  Patrat</t>
  </si>
  <si>
    <t>Pokemon GO  Watchog</t>
  </si>
  <si>
    <t>Pokemon GO  Lillipup</t>
  </si>
  <si>
    <t>Pokemon GO  Herdier</t>
  </si>
  <si>
    <t>Pokemon GO  Stoutland</t>
  </si>
  <si>
    <t>Pokemon GO  Purrloin</t>
  </si>
  <si>
    <t>Pokemon GO  Liepard</t>
  </si>
  <si>
    <t>Pokemon GO  Pansage</t>
  </si>
  <si>
    <t>Pokemon GO  Simisage</t>
  </si>
  <si>
    <t>Pokemon GO  Pansear</t>
  </si>
  <si>
    <t>Pokemon GO  Simisear</t>
  </si>
  <si>
    <t>Pokemon GO  Panpour</t>
  </si>
  <si>
    <t>Pokemon GO  Simipour</t>
  </si>
  <si>
    <t>Pokemon GO  Munna</t>
  </si>
  <si>
    <t>Pokemon GO  Musharna</t>
  </si>
  <si>
    <t>Pokemon GO  Pidove</t>
  </si>
  <si>
    <t>Pokemon GO  Tranquill</t>
  </si>
  <si>
    <t>Pokemon GO  Unfezant</t>
  </si>
  <si>
    <t>Pokemon GO  Blitzle</t>
  </si>
  <si>
    <t>Pokemon GO  Zebstrika</t>
  </si>
  <si>
    <t>Pokemon GO  Roggenrola</t>
  </si>
  <si>
    <t>Pokemon GO  Boldore</t>
  </si>
  <si>
    <t>Pokemon GO  Gigalith</t>
  </si>
  <si>
    <t>Pokemon GO  Woobat</t>
  </si>
  <si>
    <t>Pokemon GO  Swoobat</t>
  </si>
  <si>
    <t>Pokemon GO  Drilbur</t>
  </si>
  <si>
    <t>Pokemon GO  Excadrill</t>
  </si>
  <si>
    <t>Pokemon GO  Audino</t>
  </si>
  <si>
    <t>Pokemon GO  Timburr</t>
  </si>
  <si>
    <t>Pokemon GO  Gurdurr</t>
  </si>
  <si>
    <t>Pokemon GO  Conkeldurr</t>
  </si>
  <si>
    <t>Pokemon GO  Tympole</t>
  </si>
  <si>
    <t>Pokemon GO  Palpitoad</t>
  </si>
  <si>
    <t>Pokemon GO  Seismitoad</t>
  </si>
  <si>
    <t>Pokemon GO  Throh</t>
  </si>
  <si>
    <t>Pokemon GO  Sawk</t>
  </si>
  <si>
    <t>Pokemon GO  Sewaddle</t>
  </si>
  <si>
    <t>Pokemon GO  Swadloon</t>
  </si>
  <si>
    <t>Pokemon GO  Leavanny</t>
  </si>
  <si>
    <t>Pokemon GO  Venipede</t>
  </si>
  <si>
    <t>Pokemon GO  Whirlipede</t>
  </si>
  <si>
    <t>Pokemon GO  Scolipede</t>
  </si>
  <si>
    <t>Pokemon GO  Cottonee</t>
  </si>
  <si>
    <t>Grass typeGrassFairy typeFairy</t>
  </si>
  <si>
    <t>Pokemon GO  Whimsicott</t>
  </si>
  <si>
    <t>Pokemon GO  Petilil</t>
  </si>
  <si>
    <t>Pokemon GO  Lilligant</t>
  </si>
  <si>
    <t>Pokemon GO Blue Striped Basculin</t>
  </si>
  <si>
    <t>Pokemon GO Red Striped Basculin</t>
  </si>
  <si>
    <t>Pokemon GO  Sandile</t>
  </si>
  <si>
    <t>Ground typeGroundDark typeDark</t>
  </si>
  <si>
    <t>Pokemon GO  Krokorok</t>
  </si>
  <si>
    <t>Pokemon GO  Krookodile</t>
  </si>
  <si>
    <t>Pokemon GO  Darumaka</t>
  </si>
  <si>
    <t>Pokemon GO  Darmanitan</t>
  </si>
  <si>
    <t>Pokemon GO Zen Darmanitan</t>
  </si>
  <si>
    <t>Fire typeFirePsychic typePsychic</t>
  </si>
  <si>
    <t>Pokemon GO  Maractus</t>
  </si>
  <si>
    <t>Pokemon GO  Dwebble</t>
  </si>
  <si>
    <t>Pokemon GO  Crustle</t>
  </si>
  <si>
    <t>Pokemon GO  Scraggy</t>
  </si>
  <si>
    <t>Dark typeDarkFighting typeFighting</t>
  </si>
  <si>
    <t>Pokemon GO  Scrafty</t>
  </si>
  <si>
    <t>Pokemon GO  Sigilyph</t>
  </si>
  <si>
    <t>Pokemon GO  Yamask</t>
  </si>
  <si>
    <t>Pokemon GO  Cofagrigus</t>
  </si>
  <si>
    <t>Pokemon GO  Tirtouga</t>
  </si>
  <si>
    <t>Pokemon GO  Carracosta</t>
  </si>
  <si>
    <t>Pokemon GO  Archen</t>
  </si>
  <si>
    <t>Pokemon GO  Archeops</t>
  </si>
  <si>
    <t>Pokemon GO  Trubbish</t>
  </si>
  <si>
    <t>Pokemon GO  Garbodor</t>
  </si>
  <si>
    <t>Pokemon GO  Zorua</t>
  </si>
  <si>
    <t>Pokemon GO  Zoroark</t>
  </si>
  <si>
    <t>Pokemon GO  Minccino</t>
  </si>
  <si>
    <t>Pokemon GO  Cinccino</t>
  </si>
  <si>
    <t>Pokemon GO  Gothita</t>
  </si>
  <si>
    <t>Pokemon GO  Gothorita</t>
  </si>
  <si>
    <t>Pokemon GO  Gothitelle</t>
  </si>
  <si>
    <t>Pokemon GO  Solosis</t>
  </si>
  <si>
    <t>Pokemon GO  Duosion</t>
  </si>
  <si>
    <t>Pokemon GO  Reuniclus</t>
  </si>
  <si>
    <t>Pokemon GO  Ducklett</t>
  </si>
  <si>
    <t>Pokemon GO  Swanna</t>
  </si>
  <si>
    <t>Pokemon GO  Vanillite</t>
  </si>
  <si>
    <t>Pokemon GO  Vanillish</t>
  </si>
  <si>
    <t>Pokemon GO  Vanilluxe</t>
  </si>
  <si>
    <t>Pokemon GO  Deerling</t>
  </si>
  <si>
    <t>Normal typeNormalGrass typeGrass</t>
  </si>
  <si>
    <t>Pokemon GO Autumn Deerling</t>
  </si>
  <si>
    <t>Pokemon GO Spring Deerling</t>
  </si>
  <si>
    <t>Pokemon GO Summer Deerling</t>
  </si>
  <si>
    <t>Pokemon GO Winter Deerling</t>
  </si>
  <si>
    <t>Pokemon GO  Sawsbuck</t>
  </si>
  <si>
    <t>Pokemon GO Autumn Sawsbuck</t>
  </si>
  <si>
    <t>Pokemon GO Spring Sawsbuck</t>
  </si>
  <si>
    <t>Sawsbuck (Spring)</t>
  </si>
  <si>
    <t>Pokemon GO Summer Sawsbuck</t>
  </si>
  <si>
    <t>Sawsbuck (Summer)</t>
  </si>
  <si>
    <t>Pokemon GO Winter Sawsbuck</t>
  </si>
  <si>
    <t>Sawsbuck (Winter)</t>
  </si>
  <si>
    <t>Pokemon GO  Emolga</t>
  </si>
  <si>
    <t>Pokemon GO  Karrablast</t>
  </si>
  <si>
    <t>Pokemon GO  Escavalier</t>
  </si>
  <si>
    <t>Pokemon GO  Foongus</t>
  </si>
  <si>
    <t>Pokemon GO  Amoonguss</t>
  </si>
  <si>
    <t>Pokemon GO  Frillish</t>
  </si>
  <si>
    <t>Water typeWaterGhost typeGhost</t>
  </si>
  <si>
    <t>Pokemon GO  Jellicent</t>
  </si>
  <si>
    <t>Pokemon GO  Alomomola</t>
  </si>
  <si>
    <t>Pokemon GO  Joltik</t>
  </si>
  <si>
    <t>Bug typeBugElectric typeElectric</t>
  </si>
  <si>
    <t>Pokemon GO  Galvantula</t>
  </si>
  <si>
    <t>Pokemon GO  Ferroseed</t>
  </si>
  <si>
    <t>Grass typeGrassSteel typeSteel</t>
  </si>
  <si>
    <t>Pokemon GO  Ferrothorn</t>
  </si>
  <si>
    <t>Pokemon GO  Klink</t>
  </si>
  <si>
    <t>Pokemon GO  Klang</t>
  </si>
  <si>
    <t>Pokemon GO  Klinklang</t>
  </si>
  <si>
    <t>Pokemon GO  Tynamo</t>
  </si>
  <si>
    <t>Pokemon GO  Eelektrik</t>
  </si>
  <si>
    <t>Pokemon GO  Eelektross</t>
  </si>
  <si>
    <t>Pokemon GO  Elgyem</t>
  </si>
  <si>
    <t>Pokemon GO  Beheeyem</t>
  </si>
  <si>
    <t>Pokemon GO  Litwick</t>
  </si>
  <si>
    <t>Ghost typeGhostFire typeFire</t>
  </si>
  <si>
    <t>Pokemon GO  Lampent</t>
  </si>
  <si>
    <t>Pokemon GO  Chandelure</t>
  </si>
  <si>
    <t>Pokemon GO  Axew</t>
  </si>
  <si>
    <t>Pokemon GO  Fraxure</t>
  </si>
  <si>
    <t>Pokemon GO  Haxorus</t>
  </si>
  <si>
    <t>Pokemon GO  Cubchoo</t>
  </si>
  <si>
    <t>Pokemon GO  Beartic</t>
  </si>
  <si>
    <t>Pokemon GO  Cryogonal</t>
  </si>
  <si>
    <t>Pokemon GO  Shelmet</t>
  </si>
  <si>
    <t>Pokemon GO  Accelgor</t>
  </si>
  <si>
    <t>Pokemon GO  Stunfisk</t>
  </si>
  <si>
    <t>Ground typeGroundElectric typeElectric</t>
  </si>
  <si>
    <t>Pokemon GO  Mienfoo</t>
  </si>
  <si>
    <t>Pokemon GO  Mienshao</t>
  </si>
  <si>
    <t>Pokemon GO  Druddigon</t>
  </si>
  <si>
    <t>Pokemon GO  Golett</t>
  </si>
  <si>
    <t>Ground typeGroundGhost typeGhost</t>
  </si>
  <si>
    <t>Pokemon GO  Golurk</t>
  </si>
  <si>
    <t>Pokemon GO  Pawniard</t>
  </si>
  <si>
    <t>Dark typeDarkSteel typeSteel</t>
  </si>
  <si>
    <t>Pokemon GO  Bisharp</t>
  </si>
  <si>
    <t>Pokemon GO  Bouffalant</t>
  </si>
  <si>
    <t>Pokemon GO  Rufflet</t>
  </si>
  <si>
    <t>Pokemon GO  Braviary</t>
  </si>
  <si>
    <t>Pokemon GO  Vullaby</t>
  </si>
  <si>
    <t>Pokemon GO  Mandibuzz</t>
  </si>
  <si>
    <t>Pokemon GO  Heatmor</t>
  </si>
  <si>
    <t>Pokemon GO  Durant</t>
  </si>
  <si>
    <t>Pokemon GO  Deino</t>
  </si>
  <si>
    <t>Dark typeDarkDragon typeDragon</t>
  </si>
  <si>
    <t>Pokemon GO  Zweilous</t>
  </si>
  <si>
    <t>Pokemon GO  Hydreigon</t>
  </si>
  <si>
    <t>Pokemon GO  Larvesta</t>
  </si>
  <si>
    <t>Bug typeBugFire typeFire</t>
  </si>
  <si>
    <t>Pokemon GO  Volcarona</t>
  </si>
  <si>
    <t>Pokemon GO  Cobalion</t>
  </si>
  <si>
    <t>Steel typeSteelFighting typeFighting</t>
  </si>
  <si>
    <t>Pokemon GO  Terrakion</t>
  </si>
  <si>
    <t>Rock typeRockFighting typeFighting</t>
  </si>
  <si>
    <t>Pokemon GO  Virizion</t>
  </si>
  <si>
    <t>Pokemon GO  Tornadus</t>
  </si>
  <si>
    <t>Pokemon GO Therian Tornadus</t>
  </si>
  <si>
    <t>Tornadus (Therian)</t>
  </si>
  <si>
    <t>Pokemon GO  Thundurus</t>
  </si>
  <si>
    <t>Pokemon GO Therian Thundurus</t>
  </si>
  <si>
    <t>Thundurus (Therian)</t>
  </si>
  <si>
    <t>Pokemon GO  Reshiram</t>
  </si>
  <si>
    <t>Dragon typeDragonFire typeFire</t>
  </si>
  <si>
    <t>Pokemon GO  Zekrom</t>
  </si>
  <si>
    <t>Dragon typeDragonElectric typeElectric</t>
  </si>
  <si>
    <t>Pokemon GO  Landorus</t>
  </si>
  <si>
    <t>Pokemon GO Therian Landorus</t>
  </si>
  <si>
    <t>Landorus (Therian)</t>
  </si>
  <si>
    <t>Pokemon GO  Kyurem</t>
  </si>
  <si>
    <t>Dragon typeDragonIce typeIce</t>
  </si>
  <si>
    <t>Pokemon GO Black Kyurem</t>
  </si>
  <si>
    <t>Kyurem (Black)</t>
  </si>
  <si>
    <t>Pokemon GO White Kyurem</t>
  </si>
  <si>
    <t>Kyurem (White)</t>
  </si>
  <si>
    <t>Pokemon GO Ordinary Keldeo</t>
  </si>
  <si>
    <t>Keldeo (Ordinary)</t>
  </si>
  <si>
    <t>Pokemon GO Resolute Keldeo</t>
  </si>
  <si>
    <t>Keldeo (Resolute)</t>
  </si>
  <si>
    <t>Pokemon GO Aria Meloetta</t>
  </si>
  <si>
    <t>Meloetta (Aria)</t>
  </si>
  <si>
    <t>Pokemon GO Pirouette Meloetta</t>
  </si>
  <si>
    <t>Meloetta (Pirouette)</t>
  </si>
  <si>
    <t>Normal typeNormalFighting typeFighting</t>
  </si>
  <si>
    <t>Pokemon GO  Genesect</t>
  </si>
  <si>
    <t>Pokemon GO Burn Genesect</t>
  </si>
  <si>
    <t>Genesect (Burn)</t>
  </si>
  <si>
    <t>Pokemon GO Chill Genesect</t>
  </si>
  <si>
    <t>Genesect (Chill)</t>
  </si>
  <si>
    <t>Pokemon GO Douse Genesect</t>
  </si>
  <si>
    <t>Genesect (Douse)</t>
  </si>
  <si>
    <t>Pokemon GO Shock Genesect</t>
  </si>
  <si>
    <t>Genesect (Shock)</t>
  </si>
  <si>
    <t>Pokemon GO  Chespin</t>
  </si>
  <si>
    <t>Chespin</t>
  </si>
  <si>
    <t>Pokemon GO  Quilladin</t>
  </si>
  <si>
    <t>Quilladin</t>
  </si>
  <si>
    <t>Pokemon GO  Chesnaught</t>
  </si>
  <si>
    <t>Chesnaught</t>
  </si>
  <si>
    <t>Pokemon GO  Fennekin</t>
  </si>
  <si>
    <t>Fennekin</t>
  </si>
  <si>
    <t>Pokemon GO  Braixen</t>
  </si>
  <si>
    <t>Braixen</t>
  </si>
  <si>
    <t>Pokemon GO  Delphox</t>
  </si>
  <si>
    <t>Delphox</t>
  </si>
  <si>
    <t>Pokemon GO  Froakie</t>
  </si>
  <si>
    <t>Froakie</t>
  </si>
  <si>
    <t>Pokemon GO  Frogadier</t>
  </si>
  <si>
    <t>Frogadier</t>
  </si>
  <si>
    <t>Pokemon GO  Greninja</t>
  </si>
  <si>
    <t>Greninja</t>
  </si>
  <si>
    <t>Pokemon GO  Bunnelby</t>
  </si>
  <si>
    <t>Bunnelby</t>
  </si>
  <si>
    <t>Pokemon GO  Diggersby</t>
  </si>
  <si>
    <t>Diggersby</t>
  </si>
  <si>
    <t>Normal typeNormalGround typeGround</t>
  </si>
  <si>
    <t>Pokemon GO  Fletchling</t>
  </si>
  <si>
    <t>Fletchling</t>
  </si>
  <si>
    <t>Pokemon GO  Fletchinder</t>
  </si>
  <si>
    <t>Fletchinder</t>
  </si>
  <si>
    <t>Pokemon GO  Talonflame</t>
  </si>
  <si>
    <t>Talonflame</t>
  </si>
  <si>
    <t>Pokemon GO  Scatterbug</t>
  </si>
  <si>
    <t>Scatterbug</t>
  </si>
  <si>
    <t>Pokemon GO  Spewpa</t>
  </si>
  <si>
    <t>Spewpa</t>
  </si>
  <si>
    <t>Pokemon GO  Vivillon</t>
  </si>
  <si>
    <t>Vivillon</t>
  </si>
  <si>
    <t>Pokemon GO  Litleo</t>
  </si>
  <si>
    <t>Litleo</t>
  </si>
  <si>
    <t>Fire typeFireNormal typeNormal</t>
  </si>
  <si>
    <t>Pokemon GO  Pyroar</t>
  </si>
  <si>
    <t>Pyroar</t>
  </si>
  <si>
    <t>Pokemon GO  Flabébé</t>
  </si>
  <si>
    <t>Flabébé</t>
  </si>
  <si>
    <t>Pokemon GO  Floette</t>
  </si>
  <si>
    <t>Floette</t>
  </si>
  <si>
    <t>Pokemon GO  Florges</t>
  </si>
  <si>
    <t>Florges</t>
  </si>
  <si>
    <t>Pokemon GO  Skiddo</t>
  </si>
  <si>
    <t>Skiddo</t>
  </si>
  <si>
    <t>Pokemon GO  Gogoat</t>
  </si>
  <si>
    <t>Gogoat</t>
  </si>
  <si>
    <t>Pokemon GO  Pancham</t>
  </si>
  <si>
    <t>Pancham</t>
  </si>
  <si>
    <t>Pokemon GO  Pangoro</t>
  </si>
  <si>
    <t>Pangoro</t>
  </si>
  <si>
    <t>Fighting typeFightingDark typeDark</t>
  </si>
  <si>
    <t>Pokemon GO  Furfrou</t>
  </si>
  <si>
    <t>Furfrou</t>
  </si>
  <si>
    <t>Pokemon GO  Espurr</t>
  </si>
  <si>
    <t>Espurr</t>
  </si>
  <si>
    <t>Pokemon GO  Meowstic</t>
  </si>
  <si>
    <t>Meowstic</t>
  </si>
  <si>
    <t>Pokemon GO  Honedge</t>
  </si>
  <si>
    <t>Honedge</t>
  </si>
  <si>
    <t>Steel typeSteelGhost typeGhost</t>
  </si>
  <si>
    <t>Pokemon GO  Doublade</t>
  </si>
  <si>
    <t>Doublade</t>
  </si>
  <si>
    <t>Pokemon GO  Aegislash</t>
  </si>
  <si>
    <t>Aegislash</t>
  </si>
  <si>
    <t>Pokemon GO  Spritzee</t>
  </si>
  <si>
    <t>Spritzee</t>
  </si>
  <si>
    <t>Pokemon GO  Aromatisse</t>
  </si>
  <si>
    <t>Aromatisse</t>
  </si>
  <si>
    <t>Pokemon GO  Swirlix</t>
  </si>
  <si>
    <t>Swirlix</t>
  </si>
  <si>
    <t>Pokemon GO  Slurpuff</t>
  </si>
  <si>
    <t>Slurpuff</t>
  </si>
  <si>
    <t>Pokemon GO  Inkay</t>
  </si>
  <si>
    <t>Inkay</t>
  </si>
  <si>
    <t>Dark typeDarkPsychic typePsychic</t>
  </si>
  <si>
    <t>Pokemon GO  Malamar</t>
  </si>
  <si>
    <t>Malamar</t>
  </si>
  <si>
    <t>Pokemon GO  Binacle</t>
  </si>
  <si>
    <t>Binacle</t>
  </si>
  <si>
    <t>Pokemon GO  Barbaracle</t>
  </si>
  <si>
    <t>Barbaracle</t>
  </si>
  <si>
    <t>Pokemon GO  Skrelp</t>
  </si>
  <si>
    <t>Skrelp</t>
  </si>
  <si>
    <t>Poison typePoisonWater typeWater</t>
  </si>
  <si>
    <t>Pokemon GO  Dragalge</t>
  </si>
  <si>
    <t>Dragalge</t>
  </si>
  <si>
    <t>Poison typePoisonDragon typeDragon</t>
  </si>
  <si>
    <t>Pokemon GO  Clauncher</t>
  </si>
  <si>
    <t>Clauncher</t>
  </si>
  <si>
    <t>Pokemon GO  Clawitzer</t>
  </si>
  <si>
    <t>Clawitzer</t>
  </si>
  <si>
    <t>Pokemon GO  Helioptile</t>
  </si>
  <si>
    <t>Helioptile</t>
  </si>
  <si>
    <t>Electric typeElectricNormal typeNormal</t>
  </si>
  <si>
    <t>Pokemon GO  Heliolisk</t>
  </si>
  <si>
    <t>Heliolisk</t>
  </si>
  <si>
    <t>Pokemon GO  Tyrunt</t>
  </si>
  <si>
    <t>Tyrunt</t>
  </si>
  <si>
    <t>Rock typeRockDragon typeDragon</t>
  </si>
  <si>
    <t>Pokemon GO  Tyrantrum</t>
  </si>
  <si>
    <t>Tyrantrum</t>
  </si>
  <si>
    <t>Pokemon GO  Amaura</t>
  </si>
  <si>
    <t>Amaura</t>
  </si>
  <si>
    <t>Rock typeRockIce typeIce</t>
  </si>
  <si>
    <t>Pokemon GO  Aurorus</t>
  </si>
  <si>
    <t>Aurorus</t>
  </si>
  <si>
    <t>Pokemon GO  Sylveon</t>
  </si>
  <si>
    <t>Sylveon</t>
  </si>
  <si>
    <t>Pokemon GO  Hawlucha</t>
  </si>
  <si>
    <t>Hawlucha</t>
  </si>
  <si>
    <t>Fighting typeFightingFlying typeFlying</t>
  </si>
  <si>
    <t>Pokemon GO  Dedenne</t>
  </si>
  <si>
    <t>Dedenne</t>
  </si>
  <si>
    <t>Electric typeElectricFairy typeFairy</t>
  </si>
  <si>
    <t>Pokemon GO  Carbink</t>
  </si>
  <si>
    <t>Carbink</t>
  </si>
  <si>
    <t>Rock typeRockFairy typeFairy</t>
  </si>
  <si>
    <t>Pokemon GO  Goomy</t>
  </si>
  <si>
    <t>Goomy</t>
  </si>
  <si>
    <t>Pokemon GO  Sliggoo</t>
  </si>
  <si>
    <t>Sliggoo</t>
  </si>
  <si>
    <t>Pokemon GO  Goodra</t>
  </si>
  <si>
    <t>Goodra</t>
  </si>
  <si>
    <t>Pokemon GO  Klefki</t>
  </si>
  <si>
    <t>Klefki</t>
  </si>
  <si>
    <t>Pokemon GO  Phantump</t>
  </si>
  <si>
    <t>Phantump</t>
  </si>
  <si>
    <t>Ghost typeGhostGrass typeGrass</t>
  </si>
  <si>
    <t>Pokemon GO  Trevenant</t>
  </si>
  <si>
    <t>Trevenant</t>
  </si>
  <si>
    <t>Pokemon GO  Pumpkaboo</t>
  </si>
  <si>
    <t>Pumpkaboo</t>
  </si>
  <si>
    <t>Pokemon GO  Gourgeist</t>
  </si>
  <si>
    <t>Gourgeist</t>
  </si>
  <si>
    <t>Pokemon GO  Bergmite</t>
  </si>
  <si>
    <t>Bergmite</t>
  </si>
  <si>
    <t>Pokemon GO  Avalugg</t>
  </si>
  <si>
    <t>Avalugg</t>
  </si>
  <si>
    <t>Pokemon GO  Noibat</t>
  </si>
  <si>
    <t>Noibat</t>
  </si>
  <si>
    <t>Flying typeFlyingDragon typeDragon</t>
  </si>
  <si>
    <t>Pokemon GO  Noivern</t>
  </si>
  <si>
    <t>Noivern</t>
  </si>
  <si>
    <t>Pokemon GO  Xerneas</t>
  </si>
  <si>
    <t>Xerneas</t>
  </si>
  <si>
    <t>Pokemon GO  Yveltal</t>
  </si>
  <si>
    <t>Yveltal</t>
  </si>
  <si>
    <t>Pokemon GO  Zygarde</t>
  </si>
  <si>
    <t>Zygarde</t>
  </si>
  <si>
    <t>Pokemon GO  Diancie</t>
  </si>
  <si>
    <t>Diancie</t>
  </si>
  <si>
    <t>Pokemon GO  Hoopa</t>
  </si>
  <si>
    <t>Hoopa</t>
  </si>
  <si>
    <t>Psychic typePsychicGhost typeGhost</t>
  </si>
  <si>
    <t>Pokemon GO  Volcanion</t>
  </si>
  <si>
    <t>Volcanion</t>
  </si>
  <si>
    <t>Fire typeFireWater typeWater</t>
  </si>
  <si>
    <t>Pokemon GO  Rowlet</t>
  </si>
  <si>
    <t>Rowlet</t>
  </si>
  <si>
    <t>Pokemon GO  Dartrix</t>
  </si>
  <si>
    <t>Dartrix</t>
  </si>
  <si>
    <t>Pokemon GO  Decidueye</t>
  </si>
  <si>
    <t>Decidueye</t>
  </si>
  <si>
    <t>Grass typeGrassGhost typeGhost</t>
  </si>
  <si>
    <t>Pokemon GO  Litten</t>
  </si>
  <si>
    <t>Litten</t>
  </si>
  <si>
    <t>Pokemon GO  Torracat</t>
  </si>
  <si>
    <t>Torracat</t>
  </si>
  <si>
    <t>Pokemon GO  Incineroar</t>
  </si>
  <si>
    <t>Incineroar</t>
  </si>
  <si>
    <t>Fire typeFireDark typeDark</t>
  </si>
  <si>
    <t>Pokemon GO  Popplio</t>
  </si>
  <si>
    <t>Popplio</t>
  </si>
  <si>
    <t>Pokemon GO  Brionne</t>
  </si>
  <si>
    <t>Brionne</t>
  </si>
  <si>
    <t>Pokemon GO  Primarina</t>
  </si>
  <si>
    <t>Primarina</t>
  </si>
  <si>
    <t>Pokemon GO  Pikipek</t>
  </si>
  <si>
    <t>Pikipek</t>
  </si>
  <si>
    <t>Pokemon GO  Trumbeak</t>
  </si>
  <si>
    <t>Trumbeak</t>
  </si>
  <si>
    <t>Pokemon GO  Toucannon</t>
  </si>
  <si>
    <t>Toucannon</t>
  </si>
  <si>
    <t>Pokemon GO  Yungoos</t>
  </si>
  <si>
    <t>Yungoos</t>
  </si>
  <si>
    <t>Pokemon GO  Gumshoos</t>
  </si>
  <si>
    <t>Gumshoos</t>
  </si>
  <si>
    <t>Pokemon GO  Grubbin</t>
  </si>
  <si>
    <t>Grubbin</t>
  </si>
  <si>
    <t>Pokemon GO  Charjabug</t>
  </si>
  <si>
    <t>Charjabug</t>
  </si>
  <si>
    <t>Pokemon GO  Vikavolt</t>
  </si>
  <si>
    <t>Vikavolt</t>
  </si>
  <si>
    <t>Pokemon GO  Crabrawler</t>
  </si>
  <si>
    <t>Crabrawler</t>
  </si>
  <si>
    <t>Pokemon GO  Crabominable</t>
  </si>
  <si>
    <t>Crabominable</t>
  </si>
  <si>
    <t>Fighting typeFightingIce typeIce</t>
  </si>
  <si>
    <t>Pokemon GO  Oricorio</t>
  </si>
  <si>
    <t>Oricorio</t>
  </si>
  <si>
    <t>Pokemon GO  Cutiefly</t>
  </si>
  <si>
    <t>Cutiefly</t>
  </si>
  <si>
    <t>Bug typeBugFairy typeFairy</t>
  </si>
  <si>
    <t>Pokemon GO  Ribombee</t>
  </si>
  <si>
    <t>Ribombee</t>
  </si>
  <si>
    <t>Pokemon GO  Rockruff</t>
  </si>
  <si>
    <t>Rockruff</t>
  </si>
  <si>
    <t>Pokemon GO  Lycanroc</t>
  </si>
  <si>
    <t>Lycanroc</t>
  </si>
  <si>
    <t>Pokemon GO  Wishiwashi</t>
  </si>
  <si>
    <t>Wishiwashi</t>
  </si>
  <si>
    <t>Pokemon GO  Mareanie</t>
  </si>
  <si>
    <t>Mareanie</t>
  </si>
  <si>
    <t>Pokemon GO  Toxapex</t>
  </si>
  <si>
    <t>Toxapex</t>
  </si>
  <si>
    <t>Pokemon GO  Mudbray</t>
  </si>
  <si>
    <t>Mudbray</t>
  </si>
  <si>
    <t>Pokemon GO  Mudsdale</t>
  </si>
  <si>
    <t>Mudsdale</t>
  </si>
  <si>
    <t>Pokemon GO  Dewpider</t>
  </si>
  <si>
    <t>Dewpider</t>
  </si>
  <si>
    <t>Water typeWaterBug typeBug</t>
  </si>
  <si>
    <t>Pokemon GO  Araquanid</t>
  </si>
  <si>
    <t>Araquanid</t>
  </si>
  <si>
    <t>Pokemon GO  Fomantis</t>
  </si>
  <si>
    <t>Fomantis</t>
  </si>
  <si>
    <t>Pokemon GO  Lurantis</t>
  </si>
  <si>
    <t>Lurantis</t>
  </si>
  <si>
    <t>Pokemon GO  Morelull</t>
  </si>
  <si>
    <t>Morelull</t>
  </si>
  <si>
    <t>Pokemon GO  Shiinotic</t>
  </si>
  <si>
    <t>Shiinotic</t>
  </si>
  <si>
    <t>Pokemon GO  Salandit</t>
  </si>
  <si>
    <t>Salandit</t>
  </si>
  <si>
    <t>Poison typePoisonFire typeFire</t>
  </si>
  <si>
    <t>Pokemon GO  Salazzle</t>
  </si>
  <si>
    <t>Salazzle</t>
  </si>
  <si>
    <t>Pokemon GO  Stufful</t>
  </si>
  <si>
    <t>Stufful</t>
  </si>
  <si>
    <t>Pokemon GO  Bewear</t>
  </si>
  <si>
    <t>Bewear</t>
  </si>
  <si>
    <t>Pokemon GO  Bounsweet</t>
  </si>
  <si>
    <t>Bounsweet</t>
  </si>
  <si>
    <t>Pokemon GO  Steenee</t>
  </si>
  <si>
    <t>Steenee</t>
  </si>
  <si>
    <t>Pokemon GO  Tsareena</t>
  </si>
  <si>
    <t>Tsareena</t>
  </si>
  <si>
    <t>Pokemon GO  Comfey</t>
  </si>
  <si>
    <t>Comfey</t>
  </si>
  <si>
    <t>Pokemon GO  Oranguru</t>
  </si>
  <si>
    <t>Oranguru</t>
  </si>
  <si>
    <t>Pokemon GO  Passimian</t>
  </si>
  <si>
    <t>Passimian</t>
  </si>
  <si>
    <t>Pokemon GO  Wimpod</t>
  </si>
  <si>
    <t>Wimpod</t>
  </si>
  <si>
    <t>Pokemon GO  Golisopod</t>
  </si>
  <si>
    <t>Golisopod</t>
  </si>
  <si>
    <t>Pokemon GO  Sandygast</t>
  </si>
  <si>
    <t>Sandygast</t>
  </si>
  <si>
    <t>Ghost typeGhostGround typeGround</t>
  </si>
  <si>
    <t>Pokemon GO  Palossand</t>
  </si>
  <si>
    <t>Palossand</t>
  </si>
  <si>
    <t>Pokemon GO  Pyukumuku</t>
  </si>
  <si>
    <t>Pyukumuku</t>
  </si>
  <si>
    <t>Pokemon GO  Type: Null</t>
  </si>
  <si>
    <t>Type: Null</t>
  </si>
  <si>
    <t>Pokemon GO  Silvally</t>
  </si>
  <si>
    <t>Silvally</t>
  </si>
  <si>
    <t>Pokemon GO  Minior</t>
  </si>
  <si>
    <t>Minior</t>
  </si>
  <si>
    <t>Pokemon GO  Komala</t>
  </si>
  <si>
    <t>Komala</t>
  </si>
  <si>
    <t>Pokemon GO  Turtonator</t>
  </si>
  <si>
    <t>Turtonator</t>
  </si>
  <si>
    <t>Fire typeFireDragon typeDragon</t>
  </si>
  <si>
    <t>Pokemon GO  Togedemaru</t>
  </si>
  <si>
    <t>Togedemaru</t>
  </si>
  <si>
    <t>Pokemon GO  Mimikyu</t>
  </si>
  <si>
    <t>Mimikyu</t>
  </si>
  <si>
    <t>Ghost typeGhostFairy typeFairy</t>
  </si>
  <si>
    <t>Pokemon GO  Bruxish</t>
  </si>
  <si>
    <t>Bruxish</t>
  </si>
  <si>
    <t>Pokemon GO  Drampa</t>
  </si>
  <si>
    <t>Drampa</t>
  </si>
  <si>
    <t>Normal typeNormalDragon typeDragon</t>
  </si>
  <si>
    <t>Pokemon GO  Dhelmise</t>
  </si>
  <si>
    <t>Dhelmise</t>
  </si>
  <si>
    <t>Pokemon GO  Jangmo-o</t>
  </si>
  <si>
    <t>Jangmo-o</t>
  </si>
  <si>
    <t>Pokemon GO  Hakamo-o</t>
  </si>
  <si>
    <t>Hakamo-o</t>
  </si>
  <si>
    <t>Dragon typeDragonFighting typeFighting</t>
  </si>
  <si>
    <t>Pokemon GO  Kommo-o</t>
  </si>
  <si>
    <t>Kommo-o</t>
  </si>
  <si>
    <t>Pokemon GO  Tapu Koko</t>
  </si>
  <si>
    <t>Tapu Koko</t>
  </si>
  <si>
    <t>Pokemon GO  Tapu Lele</t>
  </si>
  <si>
    <t>Tapu Lele</t>
  </si>
  <si>
    <t>Pokemon GO  Tapu Bulu</t>
  </si>
  <si>
    <t>Tapu Bulu</t>
  </si>
  <si>
    <t>Pokemon GO  Tapu Fini</t>
  </si>
  <si>
    <t>Tapu Fini</t>
  </si>
  <si>
    <t>Pokemon GO  Cosmog</t>
  </si>
  <si>
    <t>Cosmog</t>
  </si>
  <si>
    <t>Pokemon GO  Cosmoem</t>
  </si>
  <si>
    <t>Cosmoem</t>
  </si>
  <si>
    <t>Pokemon GO  Solgaleo</t>
  </si>
  <si>
    <t>Solgaleo</t>
  </si>
  <si>
    <t>Psychic typePsychicSteel typeSteel</t>
  </si>
  <si>
    <t>Pokemon GO  Lunala</t>
  </si>
  <si>
    <t>Lunala</t>
  </si>
  <si>
    <t>Pokemon GO  Nihilego</t>
  </si>
  <si>
    <t>Nihilego</t>
  </si>
  <si>
    <t>Rock typeRockPoison typePoison</t>
  </si>
  <si>
    <t>Pokemon GO  Buzzwole</t>
  </si>
  <si>
    <t>Buzzwole</t>
  </si>
  <si>
    <t>Pokemon GO  Pheromosa</t>
  </si>
  <si>
    <t>Pheromosa</t>
  </si>
  <si>
    <t>Pokemon GO  Xurkitree</t>
  </si>
  <si>
    <t>Xurkitree</t>
  </si>
  <si>
    <t>Pokemon GO  Celesteela</t>
  </si>
  <si>
    <t>Celesteela</t>
  </si>
  <si>
    <t>Pokemon GO  Kartana</t>
  </si>
  <si>
    <t>Kartana</t>
  </si>
  <si>
    <t>Pokemon GO  Guzzlord</t>
  </si>
  <si>
    <t>Guzzlord</t>
  </si>
  <si>
    <t>Pokemon GO  Necrozma</t>
  </si>
  <si>
    <t>Necrozma</t>
  </si>
  <si>
    <t>Pokemon GO  Magearna</t>
  </si>
  <si>
    <t>Magearna</t>
  </si>
  <si>
    <t>Pokemon GO  Marshadow</t>
  </si>
  <si>
    <t>Marshadow</t>
  </si>
  <si>
    <t>Fighting typeFightingGhost typeGhost</t>
  </si>
  <si>
    <t>Pokemon GO  Poipole</t>
  </si>
  <si>
    <t>Poipole</t>
  </si>
  <si>
    <t>Pokemon GO  Naganadel</t>
  </si>
  <si>
    <t>Naganadel</t>
  </si>
  <si>
    <t>Pokemon GO  Stakataka</t>
  </si>
  <si>
    <t>Stakataka</t>
  </si>
  <si>
    <t>Pokemon GO  Blacephalon</t>
  </si>
  <si>
    <t>Blacephalon</t>
  </si>
  <si>
    <t>Pokemon GO  Zeraora</t>
  </si>
  <si>
    <t>Zeraora</t>
  </si>
  <si>
    <t>Pokemon GO  Meltan</t>
  </si>
  <si>
    <t>Pokemon GO  Melmetal</t>
  </si>
  <si>
    <t>Number</t>
  </si>
  <si>
    <t>Pokemon</t>
  </si>
  <si>
    <t>Types</t>
  </si>
  <si>
    <t>max cp</t>
  </si>
  <si>
    <t>atk</t>
  </si>
  <si>
    <t>def</t>
  </si>
  <si>
    <t>sta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</si>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</sst>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30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16</xdr:col>
      <xdr:colOff>541943</xdr:colOff>
      <xdr:row>13</xdr:row>
      <xdr:rowOff>142548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0"/>
          <a:ext cx="7857143" cy="26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15</xdr:col>
      <xdr:colOff>284876</xdr:colOff>
      <xdr:row>27</xdr:row>
      <xdr:rowOff>104476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8425" y="2857500"/>
          <a:ext cx="6990476" cy="239047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smel Salazar" refreshedDate="43945.943009143521" createdVersion="5" refreshedVersion="5" minRefreshableVersion="3" recordCount="72">
  <cacheSource type="worksheet">
    <worksheetSource name="Table1"/>
  </cacheSource>
  <cacheFields count="12">
    <cacheField name="pokemon" numFmtId="0">
      <sharedItems/>
    </cacheField>
    <cacheField name="candies" numFmtId="0">
      <sharedItems containsSemiMixedTypes="0" containsString="0" containsNumber="1" containsInteger="1" minValue="25" maxValue="363"/>
    </cacheField>
    <cacheField name="candies/evo" numFmtId="0">
      <sharedItems containsSemiMixedTypes="0" containsString="0" containsNumber="1" containsInteger="1" minValue="12" maxValue="100"/>
    </cacheField>
    <cacheField name="repeats" numFmtId="0">
      <sharedItems containsSemiMixedTypes="0" containsString="0" containsNumber="1" containsInteger="1" minValue="1" maxValue="30"/>
    </cacheField>
    <cacheField name="evos pre-xfers" numFmtId="0">
      <sharedItems containsSemiMixedTypes="0" containsString="0" containsNumber="1" containsInteger="1" minValue="1" maxValue="14"/>
    </cacheField>
    <cacheField name="transfers for extra evo" numFmtId="0">
      <sharedItems containsMixedTypes="1" containsNumber="1" containsInteger="1" minValue="2" maxValue="83"/>
    </cacheField>
    <cacheField name="extra evos after transfers" numFmtId="0">
      <sharedItems containsMixedTypes="1" containsNumber="1" containsInteger="1" minValue="2" maxValue="12"/>
    </cacheField>
    <cacheField name="total evos" numFmtId="0">
      <sharedItems containsSemiMixedTypes="0" containsString="0" containsNumber="1" containsInteger="1" minValue="1" maxValue="15"/>
    </cacheField>
    <cacheField name="base xp" numFmtId="0">
      <sharedItems containsSemiMixedTypes="0" containsString="0" containsNumber="1" containsInteger="1" minValue="500" maxValue="7500"/>
    </cacheField>
    <cacheField name="2x event xp" numFmtId="0">
      <sharedItems containsSemiMixedTypes="0" containsString="0" containsNumber="1" containsInteger="1" minValue="1000" maxValue="15000"/>
    </cacheField>
    <cacheField name="2x lucky egg xp" numFmtId="0">
      <sharedItems containsSemiMixedTypes="0" containsString="0" containsNumber="1" containsInteger="1" minValue="2000" maxValue="30000"/>
    </cacheField>
    <cacheField name="evo stag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">
  <r>
    <s v="bulbasaur"/>
    <n v="151"/>
    <n v="25"/>
    <n v="9"/>
    <n v="6"/>
    <n v="24"/>
    <s v=""/>
    <n v="6"/>
    <n v="3000"/>
    <n v="6000"/>
    <n v="12000"/>
    <x v="0"/>
  </r>
  <r>
    <s v="ivysaur"/>
    <n v="151"/>
    <n v="100"/>
    <n v="1"/>
    <n v="1"/>
    <n v="49"/>
    <s v=""/>
    <n v="1"/>
    <n v="500"/>
    <n v="1000"/>
    <n v="2000"/>
    <x v="1"/>
  </r>
  <r>
    <s v="charmander"/>
    <n v="139"/>
    <n v="25"/>
    <n v="4"/>
    <n v="5"/>
    <s v=""/>
    <s v=""/>
    <n v="5"/>
    <n v="2500"/>
    <n v="5000"/>
    <n v="10000"/>
    <x v="0"/>
  </r>
  <r>
    <s v="charmeleon"/>
    <n v="139"/>
    <n v="100"/>
    <n v="1"/>
    <n v="1"/>
    <n v="61"/>
    <s v=""/>
    <n v="1"/>
    <n v="500"/>
    <n v="1000"/>
    <n v="2000"/>
    <x v="1"/>
  </r>
  <r>
    <s v="caterpie"/>
    <n v="78"/>
    <n v="12"/>
    <n v="3"/>
    <n v="6"/>
    <s v=""/>
    <s v=""/>
    <n v="6"/>
    <n v="3000"/>
    <n v="6000"/>
    <n v="12000"/>
    <x v="0"/>
  </r>
  <r>
    <s v="weedle"/>
    <n v="95"/>
    <n v="12"/>
    <n v="6"/>
    <n v="7"/>
    <s v=""/>
    <s v=""/>
    <n v="7"/>
    <n v="3500"/>
    <n v="7000"/>
    <n v="14000"/>
    <x v="0"/>
  </r>
  <r>
    <s v="pidgey"/>
    <n v="65"/>
    <n v="12"/>
    <n v="4"/>
    <n v="5"/>
    <s v=""/>
    <s v=""/>
    <n v="5"/>
    <n v="2500"/>
    <n v="5000"/>
    <n v="10000"/>
    <x v="0"/>
  </r>
  <r>
    <s v="pidgeotto"/>
    <n v="65"/>
    <n v="25"/>
    <n v="1"/>
    <n v="2"/>
    <s v=""/>
    <s v=""/>
    <n v="2"/>
    <n v="1000"/>
    <n v="2000"/>
    <n v="4000"/>
    <x v="1"/>
  </r>
  <r>
    <s v="rattata"/>
    <n v="141"/>
    <n v="25"/>
    <n v="4"/>
    <n v="5"/>
    <s v=""/>
    <s v=""/>
    <n v="5"/>
    <n v="2500"/>
    <n v="5000"/>
    <n v="10000"/>
    <x v="0"/>
  </r>
  <r>
    <s v="pikachu"/>
    <n v="81"/>
    <n v="50"/>
    <n v="1"/>
    <n v="1"/>
    <n v="19"/>
    <s v=""/>
    <n v="1"/>
    <n v="500"/>
    <n v="1000"/>
    <n v="2000"/>
    <x v="0"/>
  </r>
  <r>
    <s v="nidoranf"/>
    <n v="171"/>
    <n v="25"/>
    <n v="6"/>
    <n v="6"/>
    <n v="4"/>
    <n v="4"/>
    <n v="7"/>
    <n v="3500"/>
    <n v="7000"/>
    <n v="14000"/>
    <x v="0"/>
  </r>
  <r>
    <s v="nidoranm"/>
    <n v="73"/>
    <n v="25"/>
    <n v="8"/>
    <n v="2"/>
    <n v="2"/>
    <n v="2"/>
    <n v="3"/>
    <n v="1500"/>
    <n v="3000"/>
    <n v="6000"/>
    <x v="0"/>
  </r>
  <r>
    <s v="oddish"/>
    <n v="55"/>
    <n v="25"/>
    <n v="5"/>
    <n v="2"/>
    <n v="20"/>
    <s v=""/>
    <n v="2"/>
    <n v="1000"/>
    <n v="2000"/>
    <n v="4000"/>
    <x v="0"/>
  </r>
  <r>
    <s v="paras"/>
    <n v="62"/>
    <n v="50"/>
    <n v="3"/>
    <n v="1"/>
    <n v="38"/>
    <s v=""/>
    <n v="1"/>
    <n v="500"/>
    <n v="1000"/>
    <n v="2000"/>
    <x v="0"/>
  </r>
  <r>
    <s v="mankey"/>
    <n v="166"/>
    <n v="50"/>
    <n v="2"/>
    <n v="3"/>
    <s v=""/>
    <s v=""/>
    <n v="3"/>
    <n v="1500"/>
    <n v="3000"/>
    <n v="6000"/>
    <x v="0"/>
  </r>
  <r>
    <s v="growlithe"/>
    <n v="50"/>
    <n v="50"/>
    <n v="2"/>
    <n v="1"/>
    <n v="50"/>
    <s v=""/>
    <n v="1"/>
    <n v="500"/>
    <n v="1000"/>
    <n v="2000"/>
    <x v="0"/>
  </r>
  <r>
    <s v="abra"/>
    <n v="46"/>
    <n v="25"/>
    <n v="5"/>
    <n v="1"/>
    <n v="4"/>
    <n v="4"/>
    <n v="2"/>
    <n v="1000"/>
    <n v="2000"/>
    <n v="4000"/>
    <x v="0"/>
  </r>
  <r>
    <s v="machop"/>
    <n v="48"/>
    <n v="25"/>
    <n v="3"/>
    <n v="1"/>
    <n v="2"/>
    <n v="2"/>
    <n v="2"/>
    <n v="1000"/>
    <n v="2000"/>
    <n v="4000"/>
    <x v="0"/>
  </r>
  <r>
    <s v="bellsprout"/>
    <n v="36"/>
    <n v="25"/>
    <n v="3"/>
    <n v="1"/>
    <n v="14"/>
    <s v=""/>
    <n v="1"/>
    <n v="500"/>
    <n v="1000"/>
    <n v="2000"/>
    <x v="0"/>
  </r>
  <r>
    <s v="slowpoke"/>
    <n v="55"/>
    <n v="50"/>
    <n v="4"/>
    <n v="1"/>
    <n v="45"/>
    <s v=""/>
    <n v="1"/>
    <n v="500"/>
    <n v="1000"/>
    <n v="2000"/>
    <x v="0"/>
  </r>
  <r>
    <s v="magnemite"/>
    <n v="46"/>
    <n v="25"/>
    <n v="4"/>
    <n v="1"/>
    <n v="4"/>
    <s v=""/>
    <n v="1"/>
    <n v="500"/>
    <n v="1000"/>
    <n v="2000"/>
    <x v="0"/>
  </r>
  <r>
    <s v="shellder"/>
    <n v="80"/>
    <n v="50"/>
    <n v="4"/>
    <n v="1"/>
    <n v="20"/>
    <s v=""/>
    <n v="1"/>
    <n v="500"/>
    <n v="1000"/>
    <n v="2000"/>
    <x v="0"/>
  </r>
  <r>
    <s v="ghastly"/>
    <n v="40"/>
    <n v="25"/>
    <n v="4"/>
    <n v="1"/>
    <n v="10"/>
    <s v=""/>
    <n v="1"/>
    <n v="500"/>
    <n v="1000"/>
    <n v="2000"/>
    <x v="0"/>
  </r>
  <r>
    <s v="drowzee"/>
    <n v="64"/>
    <n v="50"/>
    <n v="4"/>
    <n v="1"/>
    <n v="36"/>
    <s v=""/>
    <n v="1"/>
    <n v="500"/>
    <n v="1000"/>
    <n v="2000"/>
    <x v="0"/>
  </r>
  <r>
    <s v="exeggcute"/>
    <n v="238"/>
    <n v="50"/>
    <n v="18"/>
    <n v="4"/>
    <n v="12"/>
    <n v="12"/>
    <n v="5"/>
    <n v="2500"/>
    <n v="5000"/>
    <n v="10000"/>
    <x v="0"/>
  </r>
  <r>
    <s v="koffing"/>
    <n v="79"/>
    <n v="50"/>
    <n v="1"/>
    <n v="1"/>
    <n v="21"/>
    <s v=""/>
    <n v="1"/>
    <n v="500"/>
    <n v="1000"/>
    <n v="2000"/>
    <x v="0"/>
  </r>
  <r>
    <s v="chansey"/>
    <n v="64"/>
    <n v="50"/>
    <n v="4"/>
    <n v="1"/>
    <n v="36"/>
    <s v=""/>
    <n v="1"/>
    <n v="500"/>
    <n v="1000"/>
    <n v="2000"/>
    <x v="0"/>
  </r>
  <r>
    <s v="horsea"/>
    <n v="25"/>
    <n v="25"/>
    <n v="1"/>
    <n v="1"/>
    <n v="25"/>
    <s v=""/>
    <n v="1"/>
    <n v="500"/>
    <n v="1000"/>
    <n v="2000"/>
    <x v="0"/>
  </r>
  <r>
    <s v="eevee"/>
    <n v="363"/>
    <n v="25"/>
    <n v="25"/>
    <n v="14"/>
    <n v="12"/>
    <n v="12"/>
    <n v="15"/>
    <n v="7500"/>
    <n v="15000"/>
    <n v="30000"/>
    <x v="0"/>
  </r>
  <r>
    <s v="chikorita"/>
    <n v="51"/>
    <n v="25"/>
    <n v="2"/>
    <n v="2"/>
    <n v="24"/>
    <s v=""/>
    <n v="2"/>
    <n v="1000"/>
    <n v="2000"/>
    <n v="4000"/>
    <x v="0"/>
  </r>
  <r>
    <s v="cyndaquil"/>
    <n v="29"/>
    <n v="25"/>
    <n v="2"/>
    <n v="1"/>
    <n v="21"/>
    <s v=""/>
    <n v="1"/>
    <n v="500"/>
    <n v="1000"/>
    <n v="2000"/>
    <x v="0"/>
  </r>
  <r>
    <s v="totodile"/>
    <n v="41"/>
    <n v="25"/>
    <n v="2"/>
    <n v="1"/>
    <n v="9"/>
    <s v=""/>
    <n v="1"/>
    <n v="500"/>
    <n v="1000"/>
    <n v="2000"/>
    <x v="0"/>
  </r>
  <r>
    <s v="sentret"/>
    <n v="47"/>
    <n v="25"/>
    <n v="3"/>
    <n v="1"/>
    <n v="3"/>
    <s v=""/>
    <n v="1"/>
    <n v="500"/>
    <n v="1000"/>
    <n v="2000"/>
    <x v="0"/>
  </r>
  <r>
    <s v="togepi"/>
    <n v="83"/>
    <n v="25"/>
    <n v="1"/>
    <n v="3"/>
    <s v=""/>
    <s v=""/>
    <n v="3"/>
    <n v="1500"/>
    <n v="3000"/>
    <n v="6000"/>
    <x v="0"/>
  </r>
  <r>
    <s v="natu"/>
    <n v="78"/>
    <n v="50"/>
    <n v="2"/>
    <n v="1"/>
    <n v="22"/>
    <s v=""/>
    <n v="1"/>
    <n v="500"/>
    <n v="1000"/>
    <n v="2000"/>
    <x v="0"/>
  </r>
  <r>
    <s v="mareep"/>
    <n v="47"/>
    <n v="25"/>
    <n v="4"/>
    <n v="1"/>
    <n v="3"/>
    <n v="3"/>
    <n v="2"/>
    <n v="1000"/>
    <n v="2000"/>
    <n v="4000"/>
    <x v="0"/>
  </r>
  <r>
    <s v="marill"/>
    <n v="46"/>
    <n v="25"/>
    <n v="6"/>
    <n v="1"/>
    <n v="4"/>
    <n v="4"/>
    <n v="2"/>
    <n v="1000"/>
    <n v="2000"/>
    <n v="4000"/>
    <x v="0"/>
  </r>
  <r>
    <s v="hoppip"/>
    <n v="56"/>
    <n v="25"/>
    <n v="2"/>
    <n v="2"/>
    <n v="19"/>
    <s v=""/>
    <n v="2"/>
    <n v="1000"/>
    <n v="2000"/>
    <n v="4000"/>
    <x v="0"/>
  </r>
  <r>
    <s v="houndour"/>
    <n v="55"/>
    <n v="50"/>
    <n v="3"/>
    <n v="1"/>
    <n v="45"/>
    <s v=""/>
    <n v="1"/>
    <n v="500"/>
    <n v="1000"/>
    <n v="2000"/>
    <x v="0"/>
  </r>
  <r>
    <s v="tyrogue"/>
    <n v="45"/>
    <n v="25"/>
    <n v="3"/>
    <n v="1"/>
    <n v="5"/>
    <s v=""/>
    <n v="1"/>
    <n v="500"/>
    <n v="1000"/>
    <n v="2000"/>
    <x v="0"/>
  </r>
  <r>
    <s v="treecko"/>
    <n v="46"/>
    <n v="25"/>
    <n v="7"/>
    <n v="1"/>
    <n v="4"/>
    <n v="4"/>
    <n v="2"/>
    <n v="1000"/>
    <n v="2000"/>
    <n v="4000"/>
    <x v="0"/>
  </r>
  <r>
    <s v="torchic"/>
    <n v="48"/>
    <n v="25"/>
    <n v="5"/>
    <n v="1"/>
    <n v="2"/>
    <n v="2"/>
    <n v="2"/>
    <n v="1000"/>
    <n v="2000"/>
    <n v="4000"/>
    <x v="0"/>
  </r>
  <r>
    <s v="zigzagoon"/>
    <n v="59"/>
    <n v="50"/>
    <n v="2"/>
    <n v="1"/>
    <n v="41"/>
    <s v=""/>
    <n v="1"/>
    <n v="500"/>
    <n v="1000"/>
    <n v="2000"/>
    <x v="0"/>
  </r>
  <r>
    <s v="wurmple"/>
    <n v="76"/>
    <n v="12"/>
    <n v="4"/>
    <n v="6"/>
    <s v=""/>
    <s v=""/>
    <n v="6"/>
    <n v="3000"/>
    <n v="6000"/>
    <n v="12000"/>
    <x v="0"/>
  </r>
  <r>
    <s v="seedot"/>
    <n v="104"/>
    <n v="25"/>
    <n v="4"/>
    <n v="4"/>
    <n v="21"/>
    <s v=""/>
    <n v="4"/>
    <n v="2000"/>
    <n v="4000"/>
    <n v="8000"/>
    <x v="0"/>
  </r>
  <r>
    <s v="taillow"/>
    <n v="52"/>
    <n v="50"/>
    <n v="2"/>
    <n v="1"/>
    <n v="48"/>
    <s v=""/>
    <n v="1"/>
    <n v="500"/>
    <n v="1000"/>
    <n v="2000"/>
    <x v="0"/>
  </r>
  <r>
    <s v="ralts"/>
    <n v="41"/>
    <n v="25"/>
    <n v="4"/>
    <n v="1"/>
    <n v="9"/>
    <s v=""/>
    <n v="1"/>
    <n v="500"/>
    <n v="1000"/>
    <n v="2000"/>
    <x v="0"/>
  </r>
  <r>
    <s v="whismur"/>
    <n v="40"/>
    <n v="12"/>
    <n v="2"/>
    <n v="3"/>
    <s v=""/>
    <s v=""/>
    <n v="3"/>
    <n v="1500"/>
    <n v="3000"/>
    <n v="6000"/>
    <x v="0"/>
  </r>
  <r>
    <s v="makuhita"/>
    <n v="108"/>
    <n v="50"/>
    <n v="5"/>
    <n v="2"/>
    <n v="42"/>
    <s v=""/>
    <n v="2"/>
    <n v="1000"/>
    <n v="2000"/>
    <n v="4000"/>
    <x v="0"/>
  </r>
  <r>
    <s v="aron"/>
    <n v="69"/>
    <n v="25"/>
    <n v="8"/>
    <n v="2"/>
    <n v="6"/>
    <n v="6"/>
    <n v="3"/>
    <n v="1500"/>
    <n v="3000"/>
    <n v="6000"/>
    <x v="0"/>
  </r>
  <r>
    <s v="meditite"/>
    <n v="73"/>
    <n v="50"/>
    <n v="2"/>
    <n v="1"/>
    <n v="27"/>
    <s v=""/>
    <n v="1"/>
    <n v="500"/>
    <n v="1000"/>
    <n v="2000"/>
    <x v="0"/>
  </r>
  <r>
    <s v="turtwig"/>
    <n v="65"/>
    <n v="25"/>
    <n v="6"/>
    <n v="2"/>
    <n v="10"/>
    <s v=""/>
    <n v="2"/>
    <n v="1000"/>
    <n v="2000"/>
    <n v="4000"/>
    <x v="0"/>
  </r>
  <r>
    <s v="chimchar"/>
    <n v="62"/>
    <n v="25"/>
    <n v="6"/>
    <n v="2"/>
    <n v="13"/>
    <s v=""/>
    <n v="2"/>
    <n v="1000"/>
    <n v="2000"/>
    <n v="4000"/>
    <x v="0"/>
  </r>
  <r>
    <s v="piplup"/>
    <n v="34"/>
    <n v="25"/>
    <n v="2"/>
    <n v="1"/>
    <n v="16"/>
    <s v=""/>
    <n v="1"/>
    <n v="500"/>
    <n v="1000"/>
    <n v="2000"/>
    <x v="0"/>
  </r>
  <r>
    <s v="bidoof"/>
    <n v="60"/>
    <n v="50"/>
    <n v="4"/>
    <n v="1"/>
    <n v="40"/>
    <s v=""/>
    <n v="1"/>
    <n v="500"/>
    <n v="1000"/>
    <n v="2000"/>
    <x v="0"/>
  </r>
  <r>
    <s v="shinx"/>
    <n v="26"/>
    <n v="25"/>
    <n v="1"/>
    <n v="1"/>
    <n v="24"/>
    <s v=""/>
    <n v="1"/>
    <n v="500"/>
    <n v="1000"/>
    <n v="2000"/>
    <x v="0"/>
  </r>
  <r>
    <s v="burmy"/>
    <n v="115"/>
    <n v="50"/>
    <n v="30"/>
    <n v="2"/>
    <n v="35"/>
    <s v=""/>
    <n v="2"/>
    <n v="1000"/>
    <n v="2000"/>
    <n v="4000"/>
    <x v="0"/>
  </r>
  <r>
    <s v="croagunk"/>
    <n v="90"/>
    <n v="50"/>
    <n v="2"/>
    <n v="1"/>
    <n v="10"/>
    <s v=""/>
    <n v="1"/>
    <n v="500"/>
    <n v="1000"/>
    <n v="2000"/>
    <x v="0"/>
  </r>
  <r>
    <s v="snivy"/>
    <n v="44"/>
    <n v="25"/>
    <n v="4"/>
    <n v="1"/>
    <n v="6"/>
    <s v=""/>
    <n v="1"/>
    <n v="500"/>
    <n v="1000"/>
    <n v="2000"/>
    <x v="0"/>
  </r>
  <r>
    <s v="oshawott"/>
    <n v="36"/>
    <n v="25"/>
    <n v="3"/>
    <n v="1"/>
    <n v="14"/>
    <s v=""/>
    <n v="1"/>
    <n v="500"/>
    <n v="1000"/>
    <n v="2000"/>
    <x v="0"/>
  </r>
  <r>
    <s v="patrat"/>
    <n v="100"/>
    <n v="50"/>
    <n v="2"/>
    <n v="2"/>
    <n v="50"/>
    <s v=""/>
    <n v="2"/>
    <n v="1000"/>
    <n v="2000"/>
    <n v="4000"/>
    <x v="0"/>
  </r>
  <r>
    <s v="lillipup"/>
    <n v="117"/>
    <n v="25"/>
    <n v="21"/>
    <n v="4"/>
    <n v="8"/>
    <n v="8"/>
    <n v="5"/>
    <n v="2500"/>
    <n v="5000"/>
    <n v="10000"/>
    <x v="0"/>
  </r>
  <r>
    <s v="herdier"/>
    <n v="117"/>
    <n v="100"/>
    <n v="1"/>
    <n v="1"/>
    <n v="83"/>
    <s v=""/>
    <n v="1"/>
    <n v="500"/>
    <n v="1000"/>
    <n v="2000"/>
    <x v="1"/>
  </r>
  <r>
    <s v="purrloin"/>
    <n v="58"/>
    <n v="50"/>
    <n v="3"/>
    <n v="1"/>
    <n v="42"/>
    <s v=""/>
    <n v="1"/>
    <n v="500"/>
    <n v="1000"/>
    <n v="2000"/>
    <x v="0"/>
  </r>
  <r>
    <s v="pidove"/>
    <n v="66"/>
    <n v="12"/>
    <n v="7"/>
    <n v="5"/>
    <n v="6"/>
    <n v="6"/>
    <n v="6"/>
    <n v="3000"/>
    <n v="6000"/>
    <n v="12000"/>
    <x v="0"/>
  </r>
  <r>
    <s v="timbur"/>
    <n v="64"/>
    <n v="50"/>
    <n v="2"/>
    <n v="1"/>
    <n v="36"/>
    <s v=""/>
    <n v="1"/>
    <n v="500"/>
    <n v="1000"/>
    <n v="2000"/>
    <x v="0"/>
  </r>
  <r>
    <s v="tympole"/>
    <n v="113"/>
    <n v="25"/>
    <n v="3"/>
    <n v="4"/>
    <s v=""/>
    <s v=""/>
    <n v="4"/>
    <n v="2000"/>
    <n v="4000"/>
    <n v="8000"/>
    <x v="0"/>
  </r>
  <r>
    <s v="venipede"/>
    <n v="28"/>
    <n v="25"/>
    <n v="1"/>
    <n v="1"/>
    <n v="22"/>
    <s v=""/>
    <n v="1"/>
    <n v="500"/>
    <n v="1000"/>
    <n v="2000"/>
    <x v="0"/>
  </r>
  <r>
    <s v="solosis"/>
    <n v="79"/>
    <n v="25"/>
    <n v="9"/>
    <n v="3"/>
    <n v="21"/>
    <s v=""/>
    <n v="3"/>
    <n v="1500"/>
    <n v="3000"/>
    <n v="6000"/>
    <x v="0"/>
  </r>
  <r>
    <s v="foongus"/>
    <n v="59"/>
    <n v="50"/>
    <n v="2"/>
    <n v="1"/>
    <n v="41"/>
    <s v=""/>
    <n v="1"/>
    <n v="500"/>
    <n v="1000"/>
    <n v="2000"/>
    <x v="0"/>
  </r>
  <r>
    <s v="joltik"/>
    <n v="71"/>
    <n v="50"/>
    <n v="2"/>
    <n v="1"/>
    <n v="29"/>
    <s v=""/>
    <n v="1"/>
    <n v="500"/>
    <n v="1000"/>
    <n v="2000"/>
    <x v="0"/>
  </r>
  <r>
    <s v="ferroseed"/>
    <n v="55"/>
    <n v="50"/>
    <n v="2"/>
    <n v="1"/>
    <n v="45"/>
    <s v=""/>
    <n v="1"/>
    <n v="500"/>
    <n v="1000"/>
    <n v="2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Q2:S5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x lucky egg xp" fld="10" baseField="0" baseItem="0"/>
    <dataField name="Sum of total evo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73">
  <autoFilter ref="A1:M73"/>
  <tableColumns count="13">
    <tableColumn id="1" name="pokemon"/>
    <tableColumn id="2" name="candies"/>
    <tableColumn id="3" name="candies/evo"/>
    <tableColumn id="5" name="repeats"/>
    <tableColumn id="4" name="evos pre-xfers">
      <calculatedColumnFormula>ROUNDDOWN(Table1[candies]/Table1[candies/evo],0)</calculatedColumnFormula>
    </tableColumn>
    <tableColumn id="6" name="transfers for extra evo" dataDxfId="29" totalsRowDxfId="28">
      <calculatedColumnFormula>IF(Table1[[#This Row],[repeats]]&lt;Table1[[#This Row],[evos pre-xfers]],"",((Table1[[#This Row],[evos pre-xfers]]+1)*Table1[[#This Row],[candies/evo]])-Table1[[#This Row],[candies]])</calculatedColumnFormula>
    </tableColumn>
    <tableColumn id="7" name="extra evos after transfers" dataDxfId="27" totalsRowDxfId="26">
      <calculatedColumnFormula>IF(Table1[[#This Row],[transfers for extra evo]]&lt;Table1[[#This Row],[repeats]],Table1[[#This Row],[transfers for extra evo]],"")</calculatedColumnFormula>
    </tableColumn>
    <tableColumn id="8" name="total evos" dataDxfId="25" totalsRowDxfId="24">
      <calculatedColumnFormula>IF(ISNUMBER(Table1[[#This Row],[extra evos after transfers]]),Table1[[#This Row],[evos pre-xfers]]+1,Table1[[#This Row],[evos pre-xfers]])</calculatedColumnFormula>
    </tableColumn>
    <tableColumn id="9" name="base xp" dataDxfId="23" totalsRowDxfId="22">
      <calculatedColumnFormula>Table1[[#This Row],[total evos]]*500</calculatedColumnFormula>
    </tableColumn>
    <tableColumn id="10" name="2x event xp" dataDxfId="21" totalsRowDxfId="20">
      <calculatedColumnFormula>Table1[[#This Row],[base xp]]*2</calculatedColumnFormula>
    </tableColumn>
    <tableColumn id="11" name="2x lucky egg xp" dataDxfId="19" totalsRowDxfId="18">
      <calculatedColumnFormula>Table1[[#This Row],[2x event xp]]*2</calculatedColumnFormula>
    </tableColumn>
    <tableColumn id="12" name="evo stage" dataDxfId="17">
      <calculatedColumnFormula>0</calculatedColumnFormula>
    </tableColumn>
    <tableColumn id="13" name="new dex evo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C652" totalsRowShown="0">
  <autoFilter ref="A2:C652"/>
  <tableColumns count="3">
    <tableColumn id="7" name="Column1"/>
    <tableColumn id="1" name="Pokémon"/>
    <tableColumn id="3" name="km/Cand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4" displayName="Table24" ref="H2:M36" totalsRowShown="0">
  <autoFilter ref="H2:M36"/>
  <sortState ref="H3:M33">
    <sortCondition ref="M2:M33"/>
  </sortState>
  <tableColumns count="6">
    <tableColumn id="1" name="Name"/>
    <tableColumn id="4" name="candies needed"/>
    <tableColumn id="3" name="Distance / candy">
      <calculatedColumnFormula>INDEX(Table2[km/Candy],MATCH(Table24[Name],Table2[Pokémon],0))</calculatedColumnFormula>
    </tableColumn>
    <tableColumn id="7" name="km regular">
      <calculatedColumnFormula>IF(ISBLANK(Table24[[#This Row],[candies needed]]),"",Table24[[#This Row],[Distance / candy]]*Table24[[#This Row],[candies needed]])</calculatedColumnFormula>
    </tableColumn>
    <tableColumn id="6" name="km special" dataDxfId="15">
      <calculatedColumnFormula>IF(ISNUMBER(Table24[[#This Row],[km regular]]),IF(ISBLANK(specialEventFactor),"",Table24[km regular]*specialEventFactor),"")</calculatedColumnFormula>
    </tableColumn>
    <tableColumn id="8" name="km @ excited" dataDxfId="14">
      <calculatedColumnFormula>IF(ISNUMBER(Table24[[#This Row],[candies needed]]),0.5*IF(ISNUMBER(Table24[[#This Row],[km special]]),Table24[[#This Row],[km special]],Table24[[#This Row],[km regular]]),"")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O17" totalsRowShown="0">
  <autoFilter ref="A2:O17"/>
  <tableColumns count="15">
    <tableColumn id="1" name="name"/>
    <tableColumn id="2" name="cp" dataDxfId="13" dataCellStyle="Comma"/>
    <tableColumn id="3" name="level" dataDxfId="12" dataCellStyle="Comma"/>
    <tableColumn id="13" name="cp, 100%" dataDxfId="11" dataCellStyle="Comma"/>
    <tableColumn id="14" name="cp, 0%" dataDxfId="10" dataCellStyle="Comma"/>
    <tableColumn id="15" name="GL dust" dataDxfId="9" dataCellStyle="Comma"/>
    <tableColumn id="8" name="cp evo1" dataDxfId="8" dataCellStyle="Comma"/>
    <tableColumn id="5" name="cp, evo1 100%" dataDxfId="7" dataCellStyle="Comma"/>
    <tableColumn id="4" name="cp, evo1 0%" dataDxfId="6" dataCellStyle="Comma"/>
    <tableColumn id="10" name="GL dust evo1" dataDxfId="5" dataCellStyle="Comma"/>
    <tableColumn id="9" name="cp evo2" dataDxfId="4" dataCellStyle="Comma"/>
    <tableColumn id="7" name="cp, evo2 100%" dataDxfId="3" dataCellStyle="Comma"/>
    <tableColumn id="6" name="cp, evo2 0%" dataDxfId="2" dataCellStyle="Comma"/>
    <tableColumn id="11" name="GL dust evo2" dataDxfId="1" dataCellStyle="Comma"/>
    <tableColumn id="12" name="UL dust evo2" dataDxfId="0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pm" displayName="tbl_cpm" ref="A1:B80" totalsRowShown="0">
  <autoFilter ref="A1:B80"/>
  <tableColumns count="2">
    <tableColumn id="1" name="Level"/>
    <tableColumn id="2" name="Multipl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pane ySplit="1" topLeftCell="A2" activePane="bottomLeft" state="frozen"/>
      <selection pane="bottomLeft" activeCell="E75" sqref="E75"/>
    </sheetView>
  </sheetViews>
  <sheetFormatPr defaultRowHeight="15" x14ac:dyDescent="0.25"/>
  <cols>
    <col min="1" max="1" width="11.5703125" customWidth="1"/>
    <col min="2" max="2" width="7.5703125" customWidth="1"/>
    <col min="3" max="3" width="15.28515625" customWidth="1"/>
    <col min="4" max="4" width="8.5703125" customWidth="1"/>
    <col min="5" max="5" width="11.85546875" customWidth="1"/>
    <col min="6" max="6" width="23.140625" hidden="1" customWidth="1"/>
    <col min="13" max="13" width="14.5703125" bestFit="1" customWidth="1"/>
    <col min="14" max="16" width="4.28515625" customWidth="1"/>
    <col min="17" max="17" width="13.140625" customWidth="1"/>
    <col min="18" max="18" width="21" customWidth="1"/>
    <col min="19" max="19" width="16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10</v>
      </c>
      <c r="E1" t="s">
        <v>57</v>
      </c>
      <c r="F1" t="s">
        <v>38</v>
      </c>
      <c r="G1" t="s">
        <v>39</v>
      </c>
      <c r="H1" t="s">
        <v>3</v>
      </c>
      <c r="I1" t="s">
        <v>58</v>
      </c>
      <c r="J1" t="s">
        <v>59</v>
      </c>
      <c r="K1" t="s">
        <v>60</v>
      </c>
      <c r="L1" t="s">
        <v>82</v>
      </c>
      <c r="M1" t="s">
        <v>88</v>
      </c>
    </row>
    <row r="2" spans="1:19" x14ac:dyDescent="0.25">
      <c r="A2" t="s">
        <v>4</v>
      </c>
      <c r="B2">
        <v>151</v>
      </c>
      <c r="C2">
        <v>25</v>
      </c>
      <c r="D2">
        <v>9</v>
      </c>
      <c r="E2">
        <f>ROUNDDOWN(Table1[candies]/Table1[candies/evo],0)</f>
        <v>6</v>
      </c>
      <c r="F2">
        <f>IF(Table1[[#This Row],[repeats]]&lt;Table1[[#This Row],[evos pre-xfers]],"",((Table1[[#This Row],[evos pre-xfers]]+1)*Table1[[#This Row],[candies/evo]])-Table1[[#This Row],[candies]])</f>
        <v>24</v>
      </c>
      <c r="G2" t="str">
        <f>IF(Table1[[#This Row],[transfers for extra evo]]&lt;Table1[[#This Row],[repeats]],Table1[[#This Row],[transfers for extra evo]],"")</f>
        <v/>
      </c>
      <c r="H2">
        <f>IF(ISNUMBER(Table1[[#This Row],[extra evos after transfers]]),Table1[[#This Row],[evos pre-xfers]]+1,Table1[[#This Row],[evos pre-xfers]])</f>
        <v>6</v>
      </c>
      <c r="I2" s="1">
        <f>Table1[[#This Row],[total evos]]*500</f>
        <v>3000</v>
      </c>
      <c r="J2" s="1">
        <f>Table1[[#This Row],[base xp]]*2</f>
        <v>6000</v>
      </c>
      <c r="K2" s="1">
        <f>Table1[[#This Row],[2x event xp]]*2</f>
        <v>12000</v>
      </c>
      <c r="L2" s="1">
        <f>0</f>
        <v>0</v>
      </c>
      <c r="M2" s="1"/>
      <c r="Q2" s="2" t="s">
        <v>84</v>
      </c>
      <c r="R2" t="s">
        <v>83</v>
      </c>
      <c r="S2" t="s">
        <v>89</v>
      </c>
    </row>
    <row r="3" spans="1:19" x14ac:dyDescent="0.25">
      <c r="A3" t="s">
        <v>5</v>
      </c>
      <c r="B3">
        <v>151</v>
      </c>
      <c r="C3">
        <v>100</v>
      </c>
      <c r="D3">
        <v>1</v>
      </c>
      <c r="E3">
        <f>ROUNDDOWN(Table1[candies]/Table1[candies/evo],0)</f>
        <v>1</v>
      </c>
      <c r="F3">
        <f>IF(Table1[[#This Row],[repeats]]&lt;Table1[[#This Row],[evos pre-xfers]],"",((Table1[[#This Row],[evos pre-xfers]]+1)*Table1[[#This Row],[candies/evo]])-Table1[[#This Row],[candies]])</f>
        <v>49</v>
      </c>
      <c r="G3" t="str">
        <f>IF(Table1[[#This Row],[transfers for extra evo]]&lt;Table1[[#This Row],[repeats]],Table1[[#This Row],[transfers for extra evo]],"")</f>
        <v/>
      </c>
      <c r="H3">
        <f>IF(ISNUMBER(Table1[[#This Row],[extra evos after transfers]]),Table1[[#This Row],[evos pre-xfers]]+1,Table1[[#This Row],[evos pre-xfers]])</f>
        <v>1</v>
      </c>
      <c r="I3" s="1">
        <f>Table1[[#This Row],[total evos]]*500</f>
        <v>500</v>
      </c>
      <c r="J3" s="1">
        <f>Table1[[#This Row],[base xp]]*2</f>
        <v>1000</v>
      </c>
      <c r="K3" s="1">
        <f>Table1[[#This Row],[2x event xp]]*2</f>
        <v>2000</v>
      </c>
      <c r="L3" s="1">
        <v>1</v>
      </c>
      <c r="M3" s="1"/>
      <c r="Q3" s="3">
        <v>0</v>
      </c>
      <c r="R3" s="1">
        <v>332000</v>
      </c>
      <c r="S3" s="1">
        <v>166</v>
      </c>
    </row>
    <row r="4" spans="1:19" x14ac:dyDescent="0.25">
      <c r="A4" t="s">
        <v>6</v>
      </c>
      <c r="B4">
        <v>139</v>
      </c>
      <c r="C4">
        <v>25</v>
      </c>
      <c r="D4">
        <v>4</v>
      </c>
      <c r="E4">
        <f>ROUNDDOWN(Table1[candies]/Table1[candies/evo],0)</f>
        <v>5</v>
      </c>
      <c r="F4" t="str">
        <f>IF(Table1[[#This Row],[repeats]]&lt;Table1[[#This Row],[evos pre-xfers]],"",((Table1[[#This Row],[evos pre-xfers]]+1)*Table1[[#This Row],[candies/evo]])-Table1[[#This Row],[candies]])</f>
        <v/>
      </c>
      <c r="G4" t="str">
        <f>IF(Table1[[#This Row],[transfers for extra evo]]&lt;Table1[[#This Row],[repeats]],Table1[[#This Row],[transfers for extra evo]],"")</f>
        <v/>
      </c>
      <c r="H4">
        <f>IF(ISNUMBER(Table1[[#This Row],[extra evos after transfers]]),Table1[[#This Row],[evos pre-xfers]]+1,Table1[[#This Row],[evos pre-xfers]])</f>
        <v>5</v>
      </c>
      <c r="I4" s="1">
        <f>Table1[[#This Row],[total evos]]*500</f>
        <v>2500</v>
      </c>
      <c r="J4" s="1">
        <f>Table1[[#This Row],[base xp]]*2</f>
        <v>5000</v>
      </c>
      <c r="K4" s="1">
        <f>Table1[[#This Row],[2x event xp]]*2</f>
        <v>10000</v>
      </c>
      <c r="L4" s="1">
        <f>0</f>
        <v>0</v>
      </c>
      <c r="M4" s="1"/>
      <c r="Q4" s="3">
        <v>1</v>
      </c>
      <c r="R4" s="1">
        <v>10000</v>
      </c>
      <c r="S4" s="1">
        <v>5</v>
      </c>
    </row>
    <row r="5" spans="1:19" x14ac:dyDescent="0.25">
      <c r="A5" t="s">
        <v>7</v>
      </c>
      <c r="B5">
        <v>139</v>
      </c>
      <c r="C5">
        <v>100</v>
      </c>
      <c r="D5">
        <v>1</v>
      </c>
      <c r="E5">
        <f>ROUNDDOWN(Table1[candies]/Table1[candies/evo],0)</f>
        <v>1</v>
      </c>
      <c r="F5">
        <f>IF(Table1[[#This Row],[repeats]]&lt;Table1[[#This Row],[evos pre-xfers]],"",((Table1[[#This Row],[evos pre-xfers]]+1)*Table1[[#This Row],[candies/evo]])-Table1[[#This Row],[candies]])</f>
        <v>61</v>
      </c>
      <c r="G5" t="str">
        <f>IF(Table1[[#This Row],[transfers for extra evo]]&lt;Table1[[#This Row],[repeats]],Table1[[#This Row],[transfers for extra evo]],"")</f>
        <v/>
      </c>
      <c r="H5">
        <f>IF(ISNUMBER(Table1[[#This Row],[extra evos after transfers]]),Table1[[#This Row],[evos pre-xfers]]+1,Table1[[#This Row],[evos pre-xfers]])</f>
        <v>1</v>
      </c>
      <c r="I5" s="1">
        <f>Table1[[#This Row],[total evos]]*500</f>
        <v>500</v>
      </c>
      <c r="J5" s="1">
        <f>Table1[[#This Row],[base xp]]*2</f>
        <v>1000</v>
      </c>
      <c r="K5" s="1">
        <f>Table1[[#This Row],[2x event xp]]*2</f>
        <v>2000</v>
      </c>
      <c r="L5" s="1">
        <v>1</v>
      </c>
      <c r="M5" s="1">
        <v>1</v>
      </c>
      <c r="Q5" s="3" t="s">
        <v>85</v>
      </c>
      <c r="R5" s="1">
        <v>342000</v>
      </c>
      <c r="S5" s="1">
        <v>171</v>
      </c>
    </row>
    <row r="6" spans="1:19" x14ac:dyDescent="0.25">
      <c r="A6" t="s">
        <v>8</v>
      </c>
      <c r="B6">
        <v>78</v>
      </c>
      <c r="C6">
        <v>12</v>
      </c>
      <c r="D6">
        <v>3</v>
      </c>
      <c r="E6">
        <f>ROUNDDOWN(Table1[candies]/Table1[candies/evo],0)</f>
        <v>6</v>
      </c>
      <c r="F6" t="str">
        <f>IF(Table1[[#This Row],[repeats]]&lt;Table1[[#This Row],[evos pre-xfers]],"",((Table1[[#This Row],[evos pre-xfers]]+1)*Table1[[#This Row],[candies/evo]])-Table1[[#This Row],[candies]])</f>
        <v/>
      </c>
      <c r="G6" t="str">
        <f>IF(Table1[[#This Row],[transfers for extra evo]]&lt;Table1[[#This Row],[repeats]],Table1[[#This Row],[transfers for extra evo]],"")</f>
        <v/>
      </c>
      <c r="H6">
        <f>IF(ISNUMBER(Table1[[#This Row],[extra evos after transfers]]),Table1[[#This Row],[evos pre-xfers]]+1,Table1[[#This Row],[evos pre-xfers]])</f>
        <v>6</v>
      </c>
      <c r="I6" s="1">
        <f>Table1[[#This Row],[total evos]]*500</f>
        <v>3000</v>
      </c>
      <c r="J6" s="1">
        <f>Table1[[#This Row],[base xp]]*2</f>
        <v>6000</v>
      </c>
      <c r="K6" s="1">
        <f>Table1[[#This Row],[2x event xp]]*2</f>
        <v>12000</v>
      </c>
      <c r="L6" s="1">
        <f>0</f>
        <v>0</v>
      </c>
      <c r="M6" s="1"/>
    </row>
    <row r="7" spans="1:19" x14ac:dyDescent="0.25">
      <c r="A7" t="s">
        <v>11</v>
      </c>
      <c r="B7">
        <v>95</v>
      </c>
      <c r="C7">
        <v>12</v>
      </c>
      <c r="D7">
        <v>6</v>
      </c>
      <c r="E7">
        <f>ROUNDDOWN(Table1[candies]/Table1[candies/evo],0)</f>
        <v>7</v>
      </c>
      <c r="F7" t="str">
        <f>IF(Table1[[#This Row],[repeats]]&lt;Table1[[#This Row],[evos pre-xfers]],"",((Table1[[#This Row],[evos pre-xfers]]+1)*Table1[[#This Row],[candies/evo]])-Table1[[#This Row],[candies]])</f>
        <v/>
      </c>
      <c r="G7" t="str">
        <f>IF(Table1[[#This Row],[transfers for extra evo]]&lt;Table1[[#This Row],[repeats]],Table1[[#This Row],[transfers for extra evo]],"")</f>
        <v/>
      </c>
      <c r="H7">
        <f>IF(ISNUMBER(Table1[[#This Row],[extra evos after transfers]]),Table1[[#This Row],[evos pre-xfers]]+1,Table1[[#This Row],[evos pre-xfers]])</f>
        <v>7</v>
      </c>
      <c r="I7" s="1">
        <f>Table1[[#This Row],[total evos]]*500</f>
        <v>3500</v>
      </c>
      <c r="J7" s="1">
        <f>Table1[[#This Row],[base xp]]*2</f>
        <v>7000</v>
      </c>
      <c r="K7" s="1">
        <f>Table1[[#This Row],[2x event xp]]*2</f>
        <v>14000</v>
      </c>
      <c r="L7" s="1">
        <f>0</f>
        <v>0</v>
      </c>
      <c r="M7" s="1"/>
    </row>
    <row r="8" spans="1:19" x14ac:dyDescent="0.25">
      <c r="A8" t="s">
        <v>12</v>
      </c>
      <c r="B8">
        <v>65</v>
      </c>
      <c r="C8">
        <v>12</v>
      </c>
      <c r="D8">
        <v>4</v>
      </c>
      <c r="E8">
        <f>ROUNDDOWN(Table1[candies]/Table1[candies/evo],0)</f>
        <v>5</v>
      </c>
      <c r="F8" t="str">
        <f>IF(Table1[[#This Row],[repeats]]&lt;Table1[[#This Row],[evos pre-xfers]],"",((Table1[[#This Row],[evos pre-xfers]]+1)*Table1[[#This Row],[candies/evo]])-Table1[[#This Row],[candies]])</f>
        <v/>
      </c>
      <c r="G8" t="str">
        <f>IF(Table1[[#This Row],[transfers for extra evo]]&lt;Table1[[#This Row],[repeats]],Table1[[#This Row],[transfers for extra evo]],"")</f>
        <v/>
      </c>
      <c r="H8">
        <f>IF(ISNUMBER(Table1[[#This Row],[extra evos after transfers]]),Table1[[#This Row],[evos pre-xfers]]+1,Table1[[#This Row],[evos pre-xfers]])</f>
        <v>5</v>
      </c>
      <c r="I8" s="1">
        <f>Table1[[#This Row],[total evos]]*500</f>
        <v>2500</v>
      </c>
      <c r="J8" s="1">
        <f>Table1[[#This Row],[base xp]]*2</f>
        <v>5000</v>
      </c>
      <c r="K8" s="1">
        <f>Table1[[#This Row],[2x event xp]]*2</f>
        <v>10000</v>
      </c>
      <c r="L8" s="1">
        <f>0</f>
        <v>0</v>
      </c>
      <c r="M8" s="1"/>
    </row>
    <row r="9" spans="1:19" x14ac:dyDescent="0.25">
      <c r="A9" t="s">
        <v>13</v>
      </c>
      <c r="B9">
        <v>65</v>
      </c>
      <c r="C9">
        <v>25</v>
      </c>
      <c r="D9">
        <v>1</v>
      </c>
      <c r="E9">
        <f>ROUNDDOWN(Table1[candies]/Table1[candies/evo],0)</f>
        <v>2</v>
      </c>
      <c r="F9" t="str">
        <f>IF(Table1[[#This Row],[repeats]]&lt;Table1[[#This Row],[evos pre-xfers]],"",((Table1[[#This Row],[evos pre-xfers]]+1)*Table1[[#This Row],[candies/evo]])-Table1[[#This Row],[candies]])</f>
        <v/>
      </c>
      <c r="G9" t="str">
        <f>IF(Table1[[#This Row],[transfers for extra evo]]&lt;Table1[[#This Row],[repeats]],Table1[[#This Row],[transfers for extra evo]],"")</f>
        <v/>
      </c>
      <c r="H9">
        <f>IF(ISNUMBER(Table1[[#This Row],[extra evos after transfers]]),Table1[[#This Row],[evos pre-xfers]]+1,Table1[[#This Row],[evos pre-xfers]])</f>
        <v>2</v>
      </c>
      <c r="I9" s="1">
        <f>Table1[[#This Row],[total evos]]*500</f>
        <v>1000</v>
      </c>
      <c r="J9" s="1">
        <f>Table1[[#This Row],[base xp]]*2</f>
        <v>2000</v>
      </c>
      <c r="K9" s="1">
        <f>Table1[[#This Row],[2x event xp]]*2</f>
        <v>4000</v>
      </c>
      <c r="L9" s="1">
        <v>1</v>
      </c>
      <c r="M9" s="1"/>
    </row>
    <row r="10" spans="1:19" x14ac:dyDescent="0.25">
      <c r="A10" t="s">
        <v>14</v>
      </c>
      <c r="B10">
        <v>137</v>
      </c>
      <c r="C10">
        <v>25</v>
      </c>
      <c r="D10">
        <v>4</v>
      </c>
      <c r="E10">
        <f>ROUNDDOWN(Table1[candies]/Table1[candies/evo],0)</f>
        <v>5</v>
      </c>
      <c r="F10" t="str">
        <f>IF(Table1[[#This Row],[repeats]]&lt;Table1[[#This Row],[evos pre-xfers]],"",((Table1[[#This Row],[evos pre-xfers]]+1)*Table1[[#This Row],[candies/evo]])-Table1[[#This Row],[candies]])</f>
        <v/>
      </c>
      <c r="G10" t="str">
        <f>IF(Table1[[#This Row],[transfers for extra evo]]&lt;Table1[[#This Row],[repeats]],Table1[[#This Row],[transfers for extra evo]],"")</f>
        <v/>
      </c>
      <c r="H10">
        <f>IF(ISNUMBER(Table1[[#This Row],[extra evos after transfers]]),Table1[[#This Row],[evos pre-xfers]]+1,Table1[[#This Row],[evos pre-xfers]])</f>
        <v>5</v>
      </c>
      <c r="I10" s="1">
        <f>Table1[[#This Row],[total evos]]*500</f>
        <v>2500</v>
      </c>
      <c r="J10" s="1">
        <f>Table1[[#This Row],[base xp]]*2</f>
        <v>5000</v>
      </c>
      <c r="K10" s="1">
        <f>Table1[[#This Row],[2x event xp]]*2</f>
        <v>10000</v>
      </c>
      <c r="L10" s="1">
        <f>0</f>
        <v>0</v>
      </c>
      <c r="M10" s="1">
        <v>1</v>
      </c>
    </row>
    <row r="11" spans="1:19" x14ac:dyDescent="0.25">
      <c r="A11" t="s">
        <v>15</v>
      </c>
      <c r="B11">
        <v>81</v>
      </c>
      <c r="C11">
        <v>50</v>
      </c>
      <c r="D11">
        <v>1</v>
      </c>
      <c r="E11">
        <f>ROUNDDOWN(Table1[candies]/Table1[candies/evo],0)</f>
        <v>1</v>
      </c>
      <c r="F11">
        <f>IF(Table1[[#This Row],[repeats]]&lt;Table1[[#This Row],[evos pre-xfers]],"",((Table1[[#This Row],[evos pre-xfers]]+1)*Table1[[#This Row],[candies/evo]])-Table1[[#This Row],[candies]])</f>
        <v>19</v>
      </c>
      <c r="G11" t="str">
        <f>IF(Table1[[#This Row],[transfers for extra evo]]&lt;Table1[[#This Row],[repeats]],Table1[[#This Row],[transfers for extra evo]],"")</f>
        <v/>
      </c>
      <c r="H11">
        <f>IF(ISNUMBER(Table1[[#This Row],[extra evos after transfers]]),Table1[[#This Row],[evos pre-xfers]]+1,Table1[[#This Row],[evos pre-xfers]])</f>
        <v>1</v>
      </c>
      <c r="I11" s="1">
        <f>Table1[[#This Row],[total evos]]*500</f>
        <v>500</v>
      </c>
      <c r="J11" s="1">
        <f>Table1[[#This Row],[base xp]]*2</f>
        <v>1000</v>
      </c>
      <c r="K11" s="1">
        <f>Table1[[#This Row],[2x event xp]]*2</f>
        <v>2000</v>
      </c>
      <c r="L11" s="1">
        <f>0</f>
        <v>0</v>
      </c>
      <c r="M11" s="1"/>
    </row>
    <row r="12" spans="1:19" x14ac:dyDescent="0.25">
      <c r="A12" t="s">
        <v>16</v>
      </c>
      <c r="B12">
        <v>171</v>
      </c>
      <c r="C12">
        <v>25</v>
      </c>
      <c r="D12">
        <v>6</v>
      </c>
      <c r="E12">
        <f>ROUNDDOWN(Table1[candies]/Table1[candies/evo],0)</f>
        <v>6</v>
      </c>
      <c r="F12">
        <f>IF(Table1[[#This Row],[repeats]]&lt;Table1[[#This Row],[evos pre-xfers]],"",((Table1[[#This Row],[evos pre-xfers]]+1)*Table1[[#This Row],[candies/evo]])-Table1[[#This Row],[candies]])</f>
        <v>4</v>
      </c>
      <c r="G12">
        <f>IF(Table1[[#This Row],[transfers for extra evo]]&lt;Table1[[#This Row],[repeats]],Table1[[#This Row],[transfers for extra evo]],"")</f>
        <v>4</v>
      </c>
      <c r="H12">
        <f>IF(ISNUMBER(Table1[[#This Row],[extra evos after transfers]]),Table1[[#This Row],[evos pre-xfers]]+1,Table1[[#This Row],[evos pre-xfers]])</f>
        <v>7</v>
      </c>
      <c r="I12" s="1">
        <f>Table1[[#This Row],[total evos]]*500</f>
        <v>3500</v>
      </c>
      <c r="J12" s="1">
        <f>Table1[[#This Row],[base xp]]*2</f>
        <v>7000</v>
      </c>
      <c r="K12" s="1">
        <f>Table1[[#This Row],[2x event xp]]*2</f>
        <v>14000</v>
      </c>
      <c r="L12" s="1">
        <f>0</f>
        <v>0</v>
      </c>
      <c r="M12" s="1"/>
    </row>
    <row r="13" spans="1:19" x14ac:dyDescent="0.25">
      <c r="A13" t="s">
        <v>17</v>
      </c>
      <c r="B13">
        <v>73</v>
      </c>
      <c r="C13">
        <v>25</v>
      </c>
      <c r="D13">
        <v>8</v>
      </c>
      <c r="E13">
        <f>ROUNDDOWN(Table1[candies]/Table1[candies/evo],0)</f>
        <v>2</v>
      </c>
      <c r="F13">
        <f>IF(Table1[[#This Row],[repeats]]&lt;Table1[[#This Row],[evos pre-xfers]],"",((Table1[[#This Row],[evos pre-xfers]]+1)*Table1[[#This Row],[candies/evo]])-Table1[[#This Row],[candies]])</f>
        <v>2</v>
      </c>
      <c r="G13">
        <f>IF(Table1[[#This Row],[transfers for extra evo]]&lt;Table1[[#This Row],[repeats]],Table1[[#This Row],[transfers for extra evo]],"")</f>
        <v>2</v>
      </c>
      <c r="H13">
        <f>IF(ISNUMBER(Table1[[#This Row],[extra evos after transfers]]),Table1[[#This Row],[evos pre-xfers]]+1,Table1[[#This Row],[evos pre-xfers]])</f>
        <v>3</v>
      </c>
      <c r="I13" s="1">
        <f>Table1[[#This Row],[total evos]]*500</f>
        <v>1500</v>
      </c>
      <c r="J13" s="1">
        <f>Table1[[#This Row],[base xp]]*2</f>
        <v>3000</v>
      </c>
      <c r="K13" s="1">
        <f>Table1[[#This Row],[2x event xp]]*2</f>
        <v>6000</v>
      </c>
      <c r="L13" s="1">
        <f>0</f>
        <v>0</v>
      </c>
      <c r="M13" s="1"/>
    </row>
    <row r="14" spans="1:19" x14ac:dyDescent="0.25">
      <c r="A14" t="s">
        <v>18</v>
      </c>
      <c r="B14">
        <v>55</v>
      </c>
      <c r="C14">
        <v>25</v>
      </c>
      <c r="D14">
        <v>5</v>
      </c>
      <c r="E14">
        <f>ROUNDDOWN(Table1[candies]/Table1[candies/evo],0)</f>
        <v>2</v>
      </c>
      <c r="F14">
        <f>IF(Table1[[#This Row],[repeats]]&lt;Table1[[#This Row],[evos pre-xfers]],"",((Table1[[#This Row],[evos pre-xfers]]+1)*Table1[[#This Row],[candies/evo]])-Table1[[#This Row],[candies]])</f>
        <v>20</v>
      </c>
      <c r="G14" t="str">
        <f>IF(Table1[[#This Row],[transfers for extra evo]]&lt;Table1[[#This Row],[repeats]],Table1[[#This Row],[transfers for extra evo]],"")</f>
        <v/>
      </c>
      <c r="H14">
        <f>IF(ISNUMBER(Table1[[#This Row],[extra evos after transfers]]),Table1[[#This Row],[evos pre-xfers]]+1,Table1[[#This Row],[evos pre-xfers]])</f>
        <v>2</v>
      </c>
      <c r="I14" s="1">
        <f>Table1[[#This Row],[total evos]]*500</f>
        <v>1000</v>
      </c>
      <c r="J14" s="1">
        <f>Table1[[#This Row],[base xp]]*2</f>
        <v>2000</v>
      </c>
      <c r="K14" s="1">
        <f>Table1[[#This Row],[2x event xp]]*2</f>
        <v>4000</v>
      </c>
      <c r="L14" s="1">
        <f>0</f>
        <v>0</v>
      </c>
      <c r="M14" s="1">
        <v>1</v>
      </c>
    </row>
    <row r="15" spans="1:19" x14ac:dyDescent="0.25">
      <c r="A15" t="s">
        <v>19</v>
      </c>
      <c r="B15">
        <v>62</v>
      </c>
      <c r="C15">
        <v>50</v>
      </c>
      <c r="D15">
        <v>3</v>
      </c>
      <c r="E15">
        <f>ROUNDDOWN(Table1[candies]/Table1[candies/evo],0)</f>
        <v>1</v>
      </c>
      <c r="F15">
        <f>IF(Table1[[#This Row],[repeats]]&lt;Table1[[#This Row],[evos pre-xfers]],"",((Table1[[#This Row],[evos pre-xfers]]+1)*Table1[[#This Row],[candies/evo]])-Table1[[#This Row],[candies]])</f>
        <v>38</v>
      </c>
      <c r="G15" t="str">
        <f>IF(Table1[[#This Row],[transfers for extra evo]]&lt;Table1[[#This Row],[repeats]],Table1[[#This Row],[transfers for extra evo]],"")</f>
        <v/>
      </c>
      <c r="H15">
        <f>IF(ISNUMBER(Table1[[#This Row],[extra evos after transfers]]),Table1[[#This Row],[evos pre-xfers]]+1,Table1[[#This Row],[evos pre-xfers]])</f>
        <v>1</v>
      </c>
      <c r="I15" s="1">
        <f>Table1[[#This Row],[total evos]]*500</f>
        <v>500</v>
      </c>
      <c r="J15" s="1">
        <f>Table1[[#This Row],[base xp]]*2</f>
        <v>1000</v>
      </c>
      <c r="K15" s="1">
        <f>Table1[[#This Row],[2x event xp]]*2</f>
        <v>2000</v>
      </c>
      <c r="L15" s="1">
        <f>0</f>
        <v>0</v>
      </c>
      <c r="M15" s="1"/>
    </row>
    <row r="16" spans="1:19" x14ac:dyDescent="0.25">
      <c r="A16" t="s">
        <v>20</v>
      </c>
      <c r="B16">
        <v>166</v>
      </c>
      <c r="C16">
        <v>50</v>
      </c>
      <c r="D16">
        <v>2</v>
      </c>
      <c r="E16">
        <f>ROUNDDOWN(Table1[candies]/Table1[candies/evo],0)</f>
        <v>3</v>
      </c>
      <c r="F16" t="str">
        <f>IF(Table1[[#This Row],[repeats]]&lt;Table1[[#This Row],[evos pre-xfers]],"",((Table1[[#This Row],[evos pre-xfers]]+1)*Table1[[#This Row],[candies/evo]])-Table1[[#This Row],[candies]])</f>
        <v/>
      </c>
      <c r="G16" t="str">
        <f>IF(Table1[[#This Row],[transfers for extra evo]]&lt;Table1[[#This Row],[repeats]],Table1[[#This Row],[transfers for extra evo]],"")</f>
        <v/>
      </c>
      <c r="H16">
        <f>IF(ISNUMBER(Table1[[#This Row],[extra evos after transfers]]),Table1[[#This Row],[evos pre-xfers]]+1,Table1[[#This Row],[evos pre-xfers]])</f>
        <v>3</v>
      </c>
      <c r="I16" s="1">
        <f>Table1[[#This Row],[total evos]]*500</f>
        <v>1500</v>
      </c>
      <c r="J16" s="1">
        <f>Table1[[#This Row],[base xp]]*2</f>
        <v>3000</v>
      </c>
      <c r="K16" s="1">
        <f>Table1[[#This Row],[2x event xp]]*2</f>
        <v>6000</v>
      </c>
      <c r="L16" s="1">
        <f>0</f>
        <v>0</v>
      </c>
      <c r="M16" s="1">
        <v>1</v>
      </c>
    </row>
    <row r="17" spans="1:13" x14ac:dyDescent="0.25">
      <c r="A17" t="s">
        <v>21</v>
      </c>
      <c r="B17">
        <v>50</v>
      </c>
      <c r="C17">
        <v>50</v>
      </c>
      <c r="D17">
        <v>2</v>
      </c>
      <c r="E17">
        <f>ROUNDDOWN(Table1[candies]/Table1[candies/evo],0)</f>
        <v>1</v>
      </c>
      <c r="F17">
        <f>IF(Table1[[#This Row],[repeats]]&lt;Table1[[#This Row],[evos pre-xfers]],"",((Table1[[#This Row],[evos pre-xfers]]+1)*Table1[[#This Row],[candies/evo]])-Table1[[#This Row],[candies]])</f>
        <v>50</v>
      </c>
      <c r="G17" t="str">
        <f>IF(Table1[[#This Row],[transfers for extra evo]]&lt;Table1[[#This Row],[repeats]],Table1[[#This Row],[transfers for extra evo]],"")</f>
        <v/>
      </c>
      <c r="H17">
        <f>IF(ISNUMBER(Table1[[#This Row],[extra evos after transfers]]),Table1[[#This Row],[evos pre-xfers]]+1,Table1[[#This Row],[evos pre-xfers]])</f>
        <v>1</v>
      </c>
      <c r="I17" s="1">
        <f>Table1[[#This Row],[total evos]]*500</f>
        <v>500</v>
      </c>
      <c r="J17" s="1">
        <f>Table1[[#This Row],[base xp]]*2</f>
        <v>1000</v>
      </c>
      <c r="K17" s="1">
        <f>Table1[[#This Row],[2x event xp]]*2</f>
        <v>2000</v>
      </c>
      <c r="L17" s="1">
        <f>0</f>
        <v>0</v>
      </c>
      <c r="M17" s="1"/>
    </row>
    <row r="18" spans="1:13" x14ac:dyDescent="0.25">
      <c r="A18" t="s">
        <v>22</v>
      </c>
      <c r="B18">
        <v>46</v>
      </c>
      <c r="C18">
        <v>25</v>
      </c>
      <c r="D18">
        <v>5</v>
      </c>
      <c r="E18">
        <f>ROUNDDOWN(Table1[candies]/Table1[candies/evo],0)</f>
        <v>1</v>
      </c>
      <c r="F18">
        <f>IF(Table1[[#This Row],[repeats]]&lt;Table1[[#This Row],[evos pre-xfers]],"",((Table1[[#This Row],[evos pre-xfers]]+1)*Table1[[#This Row],[candies/evo]])-Table1[[#This Row],[candies]])</f>
        <v>4</v>
      </c>
      <c r="G18">
        <f>IF(Table1[[#This Row],[transfers for extra evo]]&lt;Table1[[#This Row],[repeats]],Table1[[#This Row],[transfers for extra evo]],"")</f>
        <v>4</v>
      </c>
      <c r="H18">
        <f>IF(ISNUMBER(Table1[[#This Row],[extra evos after transfers]]),Table1[[#This Row],[evos pre-xfers]]+1,Table1[[#This Row],[evos pre-xfers]])</f>
        <v>2</v>
      </c>
      <c r="I18" s="1">
        <f>Table1[[#This Row],[total evos]]*500</f>
        <v>1000</v>
      </c>
      <c r="J18" s="1">
        <f>Table1[[#This Row],[base xp]]*2</f>
        <v>2000</v>
      </c>
      <c r="K18" s="1">
        <f>Table1[[#This Row],[2x event xp]]*2</f>
        <v>4000</v>
      </c>
      <c r="L18" s="1">
        <f>0</f>
        <v>0</v>
      </c>
      <c r="M18" s="1"/>
    </row>
    <row r="19" spans="1:13" x14ac:dyDescent="0.25">
      <c r="A19" t="s">
        <v>23</v>
      </c>
      <c r="B19">
        <v>48</v>
      </c>
      <c r="C19">
        <v>25</v>
      </c>
      <c r="D19">
        <v>3</v>
      </c>
      <c r="E19">
        <f>ROUNDDOWN(Table1[candies]/Table1[candies/evo],0)</f>
        <v>1</v>
      </c>
      <c r="F19">
        <f>IF(Table1[[#This Row],[repeats]]&lt;Table1[[#This Row],[evos pre-xfers]],"",((Table1[[#This Row],[evos pre-xfers]]+1)*Table1[[#This Row],[candies/evo]])-Table1[[#This Row],[candies]])</f>
        <v>2</v>
      </c>
      <c r="G19">
        <f>IF(Table1[[#This Row],[transfers for extra evo]]&lt;Table1[[#This Row],[repeats]],Table1[[#This Row],[transfers for extra evo]],"")</f>
        <v>2</v>
      </c>
      <c r="H19">
        <f>IF(ISNUMBER(Table1[[#This Row],[extra evos after transfers]]),Table1[[#This Row],[evos pre-xfers]]+1,Table1[[#This Row],[evos pre-xfers]])</f>
        <v>2</v>
      </c>
      <c r="I19" s="1">
        <f>Table1[[#This Row],[total evos]]*500</f>
        <v>1000</v>
      </c>
      <c r="J19" s="1">
        <f>Table1[[#This Row],[base xp]]*2</f>
        <v>2000</v>
      </c>
      <c r="K19" s="1">
        <f>Table1[[#This Row],[2x event xp]]*2</f>
        <v>4000</v>
      </c>
      <c r="L19" s="1">
        <f>0</f>
        <v>0</v>
      </c>
      <c r="M19" s="1">
        <v>1</v>
      </c>
    </row>
    <row r="20" spans="1:13" x14ac:dyDescent="0.25">
      <c r="A20" t="s">
        <v>24</v>
      </c>
      <c r="B20">
        <v>36</v>
      </c>
      <c r="C20">
        <v>25</v>
      </c>
      <c r="D20">
        <v>3</v>
      </c>
      <c r="E20">
        <f>ROUNDDOWN(Table1[candies]/Table1[candies/evo],0)</f>
        <v>1</v>
      </c>
      <c r="F20">
        <f>IF(Table1[[#This Row],[repeats]]&lt;Table1[[#This Row],[evos pre-xfers]],"",((Table1[[#This Row],[evos pre-xfers]]+1)*Table1[[#This Row],[candies/evo]])-Table1[[#This Row],[candies]])</f>
        <v>14</v>
      </c>
      <c r="G20" t="str">
        <f>IF(Table1[[#This Row],[transfers for extra evo]]&lt;Table1[[#This Row],[repeats]],Table1[[#This Row],[transfers for extra evo]],"")</f>
        <v/>
      </c>
      <c r="H20">
        <f>IF(ISNUMBER(Table1[[#This Row],[extra evos after transfers]]),Table1[[#This Row],[evos pre-xfers]]+1,Table1[[#This Row],[evos pre-xfers]])</f>
        <v>1</v>
      </c>
      <c r="I20" s="1">
        <f>Table1[[#This Row],[total evos]]*500</f>
        <v>500</v>
      </c>
      <c r="J20" s="1">
        <f>Table1[[#This Row],[base xp]]*2</f>
        <v>1000</v>
      </c>
      <c r="K20" s="1">
        <f>Table1[[#This Row],[2x event xp]]*2</f>
        <v>2000</v>
      </c>
      <c r="L20" s="1">
        <f>0</f>
        <v>0</v>
      </c>
      <c r="M20" s="1">
        <v>1</v>
      </c>
    </row>
    <row r="21" spans="1:13" x14ac:dyDescent="0.25">
      <c r="A21" t="s">
        <v>25</v>
      </c>
      <c r="B21">
        <v>55</v>
      </c>
      <c r="C21">
        <v>50</v>
      </c>
      <c r="D21">
        <v>4</v>
      </c>
      <c r="E21">
        <f>ROUNDDOWN(Table1[candies]/Table1[candies/evo],0)</f>
        <v>1</v>
      </c>
      <c r="F21">
        <f>IF(Table1[[#This Row],[repeats]]&lt;Table1[[#This Row],[evos pre-xfers]],"",((Table1[[#This Row],[evos pre-xfers]]+1)*Table1[[#This Row],[candies/evo]])-Table1[[#This Row],[candies]])</f>
        <v>45</v>
      </c>
      <c r="G21" t="str">
        <f>IF(Table1[[#This Row],[transfers for extra evo]]&lt;Table1[[#This Row],[repeats]],Table1[[#This Row],[transfers for extra evo]],"")</f>
        <v/>
      </c>
      <c r="H21">
        <f>IF(ISNUMBER(Table1[[#This Row],[extra evos after transfers]]),Table1[[#This Row],[evos pre-xfers]]+1,Table1[[#This Row],[evos pre-xfers]])</f>
        <v>1</v>
      </c>
      <c r="I21" s="1">
        <f>Table1[[#This Row],[total evos]]*500</f>
        <v>500</v>
      </c>
      <c r="J21" s="1">
        <f>Table1[[#This Row],[base xp]]*2</f>
        <v>1000</v>
      </c>
      <c r="K21" s="1">
        <f>Table1[[#This Row],[2x event xp]]*2</f>
        <v>2000</v>
      </c>
      <c r="L21" s="1">
        <f>0</f>
        <v>0</v>
      </c>
      <c r="M21" s="1">
        <v>1</v>
      </c>
    </row>
    <row r="22" spans="1:13" x14ac:dyDescent="0.25">
      <c r="A22" t="s">
        <v>26</v>
      </c>
      <c r="B22">
        <v>46</v>
      </c>
      <c r="C22">
        <v>25</v>
      </c>
      <c r="D22">
        <v>4</v>
      </c>
      <c r="E22">
        <f>ROUNDDOWN(Table1[candies]/Table1[candies/evo],0)</f>
        <v>1</v>
      </c>
      <c r="F22">
        <f>IF(Table1[[#This Row],[repeats]]&lt;Table1[[#This Row],[evos pre-xfers]],"",((Table1[[#This Row],[evos pre-xfers]]+1)*Table1[[#This Row],[candies/evo]])-Table1[[#This Row],[candies]])</f>
        <v>4</v>
      </c>
      <c r="G22" t="str">
        <f>IF(Table1[[#This Row],[transfers for extra evo]]&lt;Table1[[#This Row],[repeats]],Table1[[#This Row],[transfers for extra evo]],"")</f>
        <v/>
      </c>
      <c r="H22">
        <f>IF(ISNUMBER(Table1[[#This Row],[extra evos after transfers]]),Table1[[#This Row],[evos pre-xfers]]+1,Table1[[#This Row],[evos pre-xfers]])</f>
        <v>1</v>
      </c>
      <c r="I22" s="1">
        <f>Table1[[#This Row],[total evos]]*500</f>
        <v>500</v>
      </c>
      <c r="J22" s="1">
        <f>Table1[[#This Row],[base xp]]*2</f>
        <v>1000</v>
      </c>
      <c r="K22" s="1">
        <f>Table1[[#This Row],[2x event xp]]*2</f>
        <v>2000</v>
      </c>
      <c r="L22" s="1">
        <f>0</f>
        <v>0</v>
      </c>
      <c r="M22" s="1">
        <v>1</v>
      </c>
    </row>
    <row r="23" spans="1:13" x14ac:dyDescent="0.25">
      <c r="A23" t="s">
        <v>27</v>
      </c>
      <c r="B23">
        <v>80</v>
      </c>
      <c r="C23">
        <v>50</v>
      </c>
      <c r="D23">
        <v>4</v>
      </c>
      <c r="E23">
        <f>ROUNDDOWN(Table1[candies]/Table1[candies/evo],0)</f>
        <v>1</v>
      </c>
      <c r="F23">
        <f>IF(Table1[[#This Row],[repeats]]&lt;Table1[[#This Row],[evos pre-xfers]],"",((Table1[[#This Row],[evos pre-xfers]]+1)*Table1[[#This Row],[candies/evo]])-Table1[[#This Row],[candies]])</f>
        <v>20</v>
      </c>
      <c r="G23" t="str">
        <f>IF(Table1[[#This Row],[transfers for extra evo]]&lt;Table1[[#This Row],[repeats]],Table1[[#This Row],[transfers for extra evo]],"")</f>
        <v/>
      </c>
      <c r="H23">
        <f>IF(ISNUMBER(Table1[[#This Row],[extra evos after transfers]]),Table1[[#This Row],[evos pre-xfers]]+1,Table1[[#This Row],[evos pre-xfers]])</f>
        <v>1</v>
      </c>
      <c r="I23" s="1">
        <f>Table1[[#This Row],[total evos]]*500</f>
        <v>500</v>
      </c>
      <c r="J23" s="1">
        <f>Table1[[#This Row],[base xp]]*2</f>
        <v>1000</v>
      </c>
      <c r="K23" s="1">
        <f>Table1[[#This Row],[2x event xp]]*2</f>
        <v>2000</v>
      </c>
      <c r="L23" s="1">
        <f>0</f>
        <v>0</v>
      </c>
      <c r="M23" s="1">
        <v>1</v>
      </c>
    </row>
    <row r="24" spans="1:13" x14ac:dyDescent="0.25">
      <c r="A24" t="s">
        <v>28</v>
      </c>
      <c r="B24">
        <v>40</v>
      </c>
      <c r="C24">
        <v>25</v>
      </c>
      <c r="D24">
        <v>4</v>
      </c>
      <c r="E24">
        <f>ROUNDDOWN(Table1[candies]/Table1[candies/evo],0)</f>
        <v>1</v>
      </c>
      <c r="F24">
        <f>IF(Table1[[#This Row],[repeats]]&lt;Table1[[#This Row],[evos pre-xfers]],"",((Table1[[#This Row],[evos pre-xfers]]+1)*Table1[[#This Row],[candies/evo]])-Table1[[#This Row],[candies]])</f>
        <v>10</v>
      </c>
      <c r="G24" t="str">
        <f>IF(Table1[[#This Row],[transfers for extra evo]]&lt;Table1[[#This Row],[repeats]],Table1[[#This Row],[transfers for extra evo]],"")</f>
        <v/>
      </c>
      <c r="H24">
        <f>IF(ISNUMBER(Table1[[#This Row],[extra evos after transfers]]),Table1[[#This Row],[evos pre-xfers]]+1,Table1[[#This Row],[evos pre-xfers]])</f>
        <v>1</v>
      </c>
      <c r="I24" s="1">
        <f>Table1[[#This Row],[total evos]]*500</f>
        <v>500</v>
      </c>
      <c r="J24" s="1">
        <f>Table1[[#This Row],[base xp]]*2</f>
        <v>1000</v>
      </c>
      <c r="K24" s="1">
        <f>Table1[[#This Row],[2x event xp]]*2</f>
        <v>2000</v>
      </c>
      <c r="L24" s="1">
        <f>0</f>
        <v>0</v>
      </c>
      <c r="M24" s="1"/>
    </row>
    <row r="25" spans="1:13" x14ac:dyDescent="0.25">
      <c r="A25" t="s">
        <v>29</v>
      </c>
      <c r="B25">
        <v>64</v>
      </c>
      <c r="C25">
        <v>50</v>
      </c>
      <c r="D25">
        <v>4</v>
      </c>
      <c r="E25">
        <f>ROUNDDOWN(Table1[candies]/Table1[candies/evo],0)</f>
        <v>1</v>
      </c>
      <c r="F25">
        <f>IF(Table1[[#This Row],[repeats]]&lt;Table1[[#This Row],[evos pre-xfers]],"",((Table1[[#This Row],[evos pre-xfers]]+1)*Table1[[#This Row],[candies/evo]])-Table1[[#This Row],[candies]])</f>
        <v>36</v>
      </c>
      <c r="G25" t="str">
        <f>IF(Table1[[#This Row],[transfers for extra evo]]&lt;Table1[[#This Row],[repeats]],Table1[[#This Row],[transfers for extra evo]],"")</f>
        <v/>
      </c>
      <c r="H25">
        <f>IF(ISNUMBER(Table1[[#This Row],[extra evos after transfers]]),Table1[[#This Row],[evos pre-xfers]]+1,Table1[[#This Row],[evos pre-xfers]])</f>
        <v>1</v>
      </c>
      <c r="I25" s="1">
        <f>Table1[[#This Row],[total evos]]*500</f>
        <v>500</v>
      </c>
      <c r="J25" s="1">
        <f>Table1[[#This Row],[base xp]]*2</f>
        <v>1000</v>
      </c>
      <c r="K25" s="1">
        <f>Table1[[#This Row],[2x event xp]]*2</f>
        <v>2000</v>
      </c>
      <c r="L25" s="1">
        <f>0</f>
        <v>0</v>
      </c>
      <c r="M25" s="1">
        <v>1</v>
      </c>
    </row>
    <row r="26" spans="1:13" x14ac:dyDescent="0.25">
      <c r="A26" t="s">
        <v>30</v>
      </c>
      <c r="B26">
        <v>238</v>
      </c>
      <c r="C26">
        <v>50</v>
      </c>
      <c r="D26">
        <v>18</v>
      </c>
      <c r="E26">
        <f>ROUNDDOWN(Table1[candies]/Table1[candies/evo],0)</f>
        <v>4</v>
      </c>
      <c r="F26">
        <f>IF(Table1[[#This Row],[repeats]]&lt;Table1[[#This Row],[evos pre-xfers]],"",((Table1[[#This Row],[evos pre-xfers]]+1)*Table1[[#This Row],[candies/evo]])-Table1[[#This Row],[candies]])</f>
        <v>12</v>
      </c>
      <c r="G26">
        <f>IF(Table1[[#This Row],[transfers for extra evo]]&lt;Table1[[#This Row],[repeats]],Table1[[#This Row],[transfers for extra evo]],"")</f>
        <v>12</v>
      </c>
      <c r="H26">
        <f>IF(ISNUMBER(Table1[[#This Row],[extra evos after transfers]]),Table1[[#This Row],[evos pre-xfers]]+1,Table1[[#This Row],[evos pre-xfers]])</f>
        <v>5</v>
      </c>
      <c r="I26" s="1">
        <f>Table1[[#This Row],[total evos]]*500</f>
        <v>2500</v>
      </c>
      <c r="J26" s="1">
        <f>Table1[[#This Row],[base xp]]*2</f>
        <v>5000</v>
      </c>
      <c r="K26" s="1">
        <f>Table1[[#This Row],[2x event xp]]*2</f>
        <v>10000</v>
      </c>
      <c r="L26" s="1">
        <f>0</f>
        <v>0</v>
      </c>
      <c r="M26" s="1"/>
    </row>
    <row r="27" spans="1:13" x14ac:dyDescent="0.25">
      <c r="A27" t="s">
        <v>31</v>
      </c>
      <c r="B27">
        <v>79</v>
      </c>
      <c r="C27">
        <v>50</v>
      </c>
      <c r="D27">
        <v>1</v>
      </c>
      <c r="E27">
        <f>ROUNDDOWN(Table1[candies]/Table1[candies/evo],0)</f>
        <v>1</v>
      </c>
      <c r="F27">
        <f>IF(Table1[[#This Row],[repeats]]&lt;Table1[[#This Row],[evos pre-xfers]],"",((Table1[[#This Row],[evos pre-xfers]]+1)*Table1[[#This Row],[candies/evo]])-Table1[[#This Row],[candies]])</f>
        <v>21</v>
      </c>
      <c r="G27" t="str">
        <f>IF(Table1[[#This Row],[transfers for extra evo]]&lt;Table1[[#This Row],[repeats]],Table1[[#This Row],[transfers for extra evo]],"")</f>
        <v/>
      </c>
      <c r="H27">
        <f>IF(ISNUMBER(Table1[[#This Row],[extra evos after transfers]]),Table1[[#This Row],[evos pre-xfers]]+1,Table1[[#This Row],[evos pre-xfers]])</f>
        <v>1</v>
      </c>
      <c r="I27" s="1">
        <f>Table1[[#This Row],[total evos]]*500</f>
        <v>500</v>
      </c>
      <c r="J27" s="1">
        <f>Table1[[#This Row],[base xp]]*2</f>
        <v>1000</v>
      </c>
      <c r="K27" s="1">
        <f>Table1[[#This Row],[2x event xp]]*2</f>
        <v>2000</v>
      </c>
      <c r="L27" s="1">
        <f>0</f>
        <v>0</v>
      </c>
      <c r="M27" s="1">
        <v>1</v>
      </c>
    </row>
    <row r="28" spans="1:13" x14ac:dyDescent="0.25">
      <c r="A28" t="s">
        <v>32</v>
      </c>
      <c r="B28">
        <v>64</v>
      </c>
      <c r="C28">
        <v>50</v>
      </c>
      <c r="D28">
        <v>4</v>
      </c>
      <c r="E28">
        <f>ROUNDDOWN(Table1[candies]/Table1[candies/evo],0)</f>
        <v>1</v>
      </c>
      <c r="F28">
        <f>IF(Table1[[#This Row],[repeats]]&lt;Table1[[#This Row],[evos pre-xfers]],"",((Table1[[#This Row],[evos pre-xfers]]+1)*Table1[[#This Row],[candies/evo]])-Table1[[#This Row],[candies]])</f>
        <v>36</v>
      </c>
      <c r="G28" t="str">
        <f>IF(Table1[[#This Row],[transfers for extra evo]]&lt;Table1[[#This Row],[repeats]],Table1[[#This Row],[transfers for extra evo]],"")</f>
        <v/>
      </c>
      <c r="H28">
        <f>IF(ISNUMBER(Table1[[#This Row],[extra evos after transfers]]),Table1[[#This Row],[evos pre-xfers]]+1,Table1[[#This Row],[evos pre-xfers]])</f>
        <v>1</v>
      </c>
      <c r="I28" s="1">
        <f>Table1[[#This Row],[total evos]]*500</f>
        <v>500</v>
      </c>
      <c r="J28" s="1">
        <f>Table1[[#This Row],[base xp]]*2</f>
        <v>1000</v>
      </c>
      <c r="K28" s="1">
        <f>Table1[[#This Row],[2x event xp]]*2</f>
        <v>2000</v>
      </c>
      <c r="L28" s="1">
        <f>0</f>
        <v>0</v>
      </c>
      <c r="M28" s="1">
        <v>1</v>
      </c>
    </row>
    <row r="29" spans="1:13" x14ac:dyDescent="0.25">
      <c r="A29" t="s">
        <v>33</v>
      </c>
      <c r="B29">
        <v>25</v>
      </c>
      <c r="C29">
        <v>25</v>
      </c>
      <c r="D29">
        <v>1</v>
      </c>
      <c r="E29">
        <f>ROUNDDOWN(Table1[candies]/Table1[candies/evo],0)</f>
        <v>1</v>
      </c>
      <c r="F29">
        <f>IF(Table1[[#This Row],[repeats]]&lt;Table1[[#This Row],[evos pre-xfers]],"",((Table1[[#This Row],[evos pre-xfers]]+1)*Table1[[#This Row],[candies/evo]])-Table1[[#This Row],[candies]])</f>
        <v>25</v>
      </c>
      <c r="G29" t="str">
        <f>IF(Table1[[#This Row],[transfers for extra evo]]&lt;Table1[[#This Row],[repeats]],Table1[[#This Row],[transfers for extra evo]],"")</f>
        <v/>
      </c>
      <c r="H29">
        <f>IF(ISNUMBER(Table1[[#This Row],[extra evos after transfers]]),Table1[[#This Row],[evos pre-xfers]]+1,Table1[[#This Row],[evos pre-xfers]])</f>
        <v>1</v>
      </c>
      <c r="I29" s="1">
        <f>Table1[[#This Row],[total evos]]*500</f>
        <v>500</v>
      </c>
      <c r="J29" s="1">
        <f>Table1[[#This Row],[base xp]]*2</f>
        <v>1000</v>
      </c>
      <c r="K29" s="1">
        <f>Table1[[#This Row],[2x event xp]]*2</f>
        <v>2000</v>
      </c>
      <c r="L29" s="1">
        <f>0</f>
        <v>0</v>
      </c>
      <c r="M29" s="1">
        <v>1</v>
      </c>
    </row>
    <row r="30" spans="1:13" x14ac:dyDescent="0.25">
      <c r="A30" t="s">
        <v>34</v>
      </c>
      <c r="B30">
        <v>363</v>
      </c>
      <c r="C30">
        <v>25</v>
      </c>
      <c r="D30">
        <v>25</v>
      </c>
      <c r="E30">
        <f>ROUNDDOWN(Table1[candies]/Table1[candies/evo],0)</f>
        <v>14</v>
      </c>
      <c r="F30">
        <f>IF(Table1[[#This Row],[repeats]]&lt;Table1[[#This Row],[evos pre-xfers]],"",((Table1[[#This Row],[evos pre-xfers]]+1)*Table1[[#This Row],[candies/evo]])-Table1[[#This Row],[candies]])</f>
        <v>12</v>
      </c>
      <c r="G30">
        <f>IF(Table1[[#This Row],[transfers for extra evo]]&lt;Table1[[#This Row],[repeats]],Table1[[#This Row],[transfers for extra evo]],"")</f>
        <v>12</v>
      </c>
      <c r="H30">
        <f>IF(ISNUMBER(Table1[[#This Row],[extra evos after transfers]]),Table1[[#This Row],[evos pre-xfers]]+1,Table1[[#This Row],[evos pre-xfers]])</f>
        <v>15</v>
      </c>
      <c r="I30" s="1">
        <f>Table1[[#This Row],[total evos]]*500</f>
        <v>7500</v>
      </c>
      <c r="J30" s="1">
        <f>Table1[[#This Row],[base xp]]*2</f>
        <v>15000</v>
      </c>
      <c r="K30" s="1">
        <f>Table1[[#This Row],[2x event xp]]*2</f>
        <v>30000</v>
      </c>
      <c r="L30" s="1">
        <f>0</f>
        <v>0</v>
      </c>
      <c r="M30" s="1">
        <v>6</v>
      </c>
    </row>
    <row r="31" spans="1:13" x14ac:dyDescent="0.25">
      <c r="A31" t="s">
        <v>35</v>
      </c>
      <c r="B31">
        <v>51</v>
      </c>
      <c r="C31">
        <v>25</v>
      </c>
      <c r="D31">
        <v>2</v>
      </c>
      <c r="E31">
        <f>ROUNDDOWN(Table1[candies]/Table1[candies/evo],0)</f>
        <v>2</v>
      </c>
      <c r="F31">
        <f>IF(Table1[[#This Row],[repeats]]&lt;Table1[[#This Row],[evos pre-xfers]],"",((Table1[[#This Row],[evos pre-xfers]]+1)*Table1[[#This Row],[candies/evo]])-Table1[[#This Row],[candies]])</f>
        <v>24</v>
      </c>
      <c r="G31" t="str">
        <f>IF(Table1[[#This Row],[transfers for extra evo]]&lt;Table1[[#This Row],[repeats]],Table1[[#This Row],[transfers for extra evo]],"")</f>
        <v/>
      </c>
      <c r="H31">
        <f>IF(ISNUMBER(Table1[[#This Row],[extra evos after transfers]]),Table1[[#This Row],[evos pre-xfers]]+1,Table1[[#This Row],[evos pre-xfers]])</f>
        <v>2</v>
      </c>
      <c r="I31" s="1">
        <f>Table1[[#This Row],[total evos]]*500</f>
        <v>1000</v>
      </c>
      <c r="J31" s="1">
        <f>Table1[[#This Row],[base xp]]*2</f>
        <v>2000</v>
      </c>
      <c r="K31" s="1">
        <f>Table1[[#This Row],[2x event xp]]*2</f>
        <v>4000</v>
      </c>
      <c r="L31" s="1">
        <f>0</f>
        <v>0</v>
      </c>
      <c r="M31" s="1">
        <v>1</v>
      </c>
    </row>
    <row r="32" spans="1:13" x14ac:dyDescent="0.25">
      <c r="A32" t="s">
        <v>36</v>
      </c>
      <c r="B32">
        <v>29</v>
      </c>
      <c r="C32">
        <v>25</v>
      </c>
      <c r="D32">
        <v>2</v>
      </c>
      <c r="E32">
        <f>ROUNDDOWN(Table1[candies]/Table1[candies/evo],0)</f>
        <v>1</v>
      </c>
      <c r="F32">
        <f>IF(Table1[[#This Row],[repeats]]&lt;Table1[[#This Row],[evos pre-xfers]],"",((Table1[[#This Row],[evos pre-xfers]]+1)*Table1[[#This Row],[candies/evo]])-Table1[[#This Row],[candies]])</f>
        <v>21</v>
      </c>
      <c r="G32" t="str">
        <f>IF(Table1[[#This Row],[transfers for extra evo]]&lt;Table1[[#This Row],[repeats]],Table1[[#This Row],[transfers for extra evo]],"")</f>
        <v/>
      </c>
      <c r="H32">
        <f>IF(ISNUMBER(Table1[[#This Row],[extra evos after transfers]]),Table1[[#This Row],[evos pre-xfers]]+1,Table1[[#This Row],[evos pre-xfers]])</f>
        <v>1</v>
      </c>
      <c r="I32" s="1">
        <f>Table1[[#This Row],[total evos]]*500</f>
        <v>500</v>
      </c>
      <c r="J32" s="1">
        <f>Table1[[#This Row],[base xp]]*2</f>
        <v>1000</v>
      </c>
      <c r="K32" s="1">
        <f>Table1[[#This Row],[2x event xp]]*2</f>
        <v>2000</v>
      </c>
      <c r="L32" s="1">
        <f>0</f>
        <v>0</v>
      </c>
      <c r="M32" s="1">
        <v>1</v>
      </c>
    </row>
    <row r="33" spans="1:13" x14ac:dyDescent="0.25">
      <c r="A33" t="s">
        <v>37</v>
      </c>
      <c r="B33">
        <v>41</v>
      </c>
      <c r="C33">
        <v>25</v>
      </c>
      <c r="D33">
        <v>2</v>
      </c>
      <c r="E33">
        <f>ROUNDDOWN(Table1[candies]/Table1[candies/evo],0)</f>
        <v>1</v>
      </c>
      <c r="F33">
        <f>IF(Table1[[#This Row],[repeats]]&lt;Table1[[#This Row],[evos pre-xfers]],"",((Table1[[#This Row],[evos pre-xfers]]+1)*Table1[[#This Row],[candies/evo]])-Table1[[#This Row],[candies]])</f>
        <v>9</v>
      </c>
      <c r="G33" t="str">
        <f>IF(Table1[[#This Row],[transfers for extra evo]]&lt;Table1[[#This Row],[repeats]],Table1[[#This Row],[transfers for extra evo]],"")</f>
        <v/>
      </c>
      <c r="H33">
        <f>IF(ISNUMBER(Table1[[#This Row],[extra evos after transfers]]),Table1[[#This Row],[evos pre-xfers]]+1,Table1[[#This Row],[evos pre-xfers]])</f>
        <v>1</v>
      </c>
      <c r="I33" s="1">
        <f>Table1[[#This Row],[total evos]]*500</f>
        <v>500</v>
      </c>
      <c r="J33" s="1">
        <f>Table1[[#This Row],[base xp]]*2</f>
        <v>1000</v>
      </c>
      <c r="K33" s="1">
        <f>Table1[[#This Row],[2x event xp]]*2</f>
        <v>2000</v>
      </c>
      <c r="L33" s="1">
        <f>0</f>
        <v>0</v>
      </c>
      <c r="M33" s="1">
        <v>1</v>
      </c>
    </row>
    <row r="34" spans="1:13" x14ac:dyDescent="0.25">
      <c r="A34" t="s">
        <v>40</v>
      </c>
      <c r="B34">
        <v>47</v>
      </c>
      <c r="C34">
        <v>25</v>
      </c>
      <c r="D34">
        <v>3</v>
      </c>
      <c r="E34">
        <f>ROUNDDOWN(Table1[candies]/Table1[candies/evo],0)</f>
        <v>1</v>
      </c>
      <c r="F34" s="1">
        <f>IF(Table1[[#This Row],[repeats]]&lt;Table1[[#This Row],[evos pre-xfers]],"",((Table1[[#This Row],[evos pre-xfers]]+1)*Table1[[#This Row],[candies/evo]])-Table1[[#This Row],[candies]])</f>
        <v>3</v>
      </c>
      <c r="G34" s="1" t="str">
        <f>IF(Table1[[#This Row],[transfers for extra evo]]&lt;Table1[[#This Row],[repeats]],Table1[[#This Row],[transfers for extra evo]],"")</f>
        <v/>
      </c>
      <c r="H34">
        <f>IF(ISNUMBER(Table1[[#This Row],[extra evos after transfers]]),Table1[[#This Row],[evos pre-xfers]]+1,Table1[[#This Row],[evos pre-xfers]])</f>
        <v>1</v>
      </c>
      <c r="I34" s="1">
        <f>Table1[[#This Row],[total evos]]*500</f>
        <v>500</v>
      </c>
      <c r="J34" s="1">
        <f>Table1[[#This Row],[base xp]]*2</f>
        <v>1000</v>
      </c>
      <c r="K34" s="1">
        <f>Table1[[#This Row],[2x event xp]]*2</f>
        <v>2000</v>
      </c>
      <c r="L34" s="1">
        <f>0</f>
        <v>0</v>
      </c>
      <c r="M34" s="1"/>
    </row>
    <row r="35" spans="1:13" x14ac:dyDescent="0.25">
      <c r="A35" t="s">
        <v>41</v>
      </c>
      <c r="B35">
        <v>83</v>
      </c>
      <c r="C35">
        <v>25</v>
      </c>
      <c r="D35">
        <v>1</v>
      </c>
      <c r="E35">
        <f>ROUNDDOWN(Table1[candies]/Table1[candies/evo],0)</f>
        <v>3</v>
      </c>
      <c r="F35" s="1" t="str">
        <f>IF(Table1[[#This Row],[repeats]]&lt;Table1[[#This Row],[evos pre-xfers]],"",((Table1[[#This Row],[evos pre-xfers]]+1)*Table1[[#This Row],[candies/evo]])-Table1[[#This Row],[candies]])</f>
        <v/>
      </c>
      <c r="G35" s="1" t="str">
        <f>IF(Table1[[#This Row],[transfers for extra evo]]&lt;Table1[[#This Row],[repeats]],Table1[[#This Row],[transfers for extra evo]],"")</f>
        <v/>
      </c>
      <c r="H35">
        <f>IF(ISNUMBER(Table1[[#This Row],[extra evos after transfers]]),Table1[[#This Row],[evos pre-xfers]]+1,Table1[[#This Row],[evos pre-xfers]])</f>
        <v>3</v>
      </c>
      <c r="I35" s="1">
        <f>Table1[[#This Row],[total evos]]*500</f>
        <v>1500</v>
      </c>
      <c r="J35" s="1">
        <f>Table1[[#This Row],[base xp]]*2</f>
        <v>3000</v>
      </c>
      <c r="K35" s="1">
        <f>Table1[[#This Row],[2x event xp]]*2</f>
        <v>6000</v>
      </c>
      <c r="L35" s="1">
        <f>0</f>
        <v>0</v>
      </c>
      <c r="M35" s="1">
        <v>1</v>
      </c>
    </row>
    <row r="36" spans="1:13" x14ac:dyDescent="0.25">
      <c r="A36" t="s">
        <v>42</v>
      </c>
      <c r="B36">
        <v>78</v>
      </c>
      <c r="C36">
        <v>50</v>
      </c>
      <c r="D36">
        <v>2</v>
      </c>
      <c r="E36">
        <f>ROUNDDOWN(Table1[candies]/Table1[candies/evo],0)</f>
        <v>1</v>
      </c>
      <c r="F36" s="1">
        <f>IF(Table1[[#This Row],[repeats]]&lt;Table1[[#This Row],[evos pre-xfers]],"",((Table1[[#This Row],[evos pre-xfers]]+1)*Table1[[#This Row],[candies/evo]])-Table1[[#This Row],[candies]])</f>
        <v>22</v>
      </c>
      <c r="G36" s="1" t="str">
        <f>IF(Table1[[#This Row],[transfers for extra evo]]&lt;Table1[[#This Row],[repeats]],Table1[[#This Row],[transfers for extra evo]],"")</f>
        <v/>
      </c>
      <c r="H36">
        <f>IF(ISNUMBER(Table1[[#This Row],[extra evos after transfers]]),Table1[[#This Row],[evos pre-xfers]]+1,Table1[[#This Row],[evos pre-xfers]])</f>
        <v>1</v>
      </c>
      <c r="I36" s="1">
        <f>Table1[[#This Row],[total evos]]*500</f>
        <v>500</v>
      </c>
      <c r="J36" s="1">
        <f>Table1[[#This Row],[base xp]]*2</f>
        <v>1000</v>
      </c>
      <c r="K36" s="1">
        <f>Table1[[#This Row],[2x event xp]]*2</f>
        <v>2000</v>
      </c>
      <c r="L36" s="1">
        <f>0</f>
        <v>0</v>
      </c>
      <c r="M36" s="1">
        <v>1</v>
      </c>
    </row>
    <row r="37" spans="1:13" x14ac:dyDescent="0.25">
      <c r="A37" t="s">
        <v>43</v>
      </c>
      <c r="B37">
        <v>47</v>
      </c>
      <c r="C37">
        <v>25</v>
      </c>
      <c r="D37">
        <v>4</v>
      </c>
      <c r="E37">
        <f>ROUNDDOWN(Table1[candies]/Table1[candies/evo],0)</f>
        <v>1</v>
      </c>
      <c r="F37" s="1">
        <f>IF(Table1[[#This Row],[repeats]]&lt;Table1[[#This Row],[evos pre-xfers]],"",((Table1[[#This Row],[evos pre-xfers]]+1)*Table1[[#This Row],[candies/evo]])-Table1[[#This Row],[candies]])</f>
        <v>3</v>
      </c>
      <c r="G37" s="1">
        <f>IF(Table1[[#This Row],[transfers for extra evo]]&lt;Table1[[#This Row],[repeats]],Table1[[#This Row],[transfers for extra evo]],"")</f>
        <v>3</v>
      </c>
      <c r="H37">
        <f>IF(ISNUMBER(Table1[[#This Row],[extra evos after transfers]]),Table1[[#This Row],[evos pre-xfers]]+1,Table1[[#This Row],[evos pre-xfers]])</f>
        <v>2</v>
      </c>
      <c r="I37" s="1">
        <f>Table1[[#This Row],[total evos]]*500</f>
        <v>1000</v>
      </c>
      <c r="J37" s="1">
        <f>Table1[[#This Row],[base xp]]*2</f>
        <v>2000</v>
      </c>
      <c r="K37" s="1">
        <f>Table1[[#This Row],[2x event xp]]*2</f>
        <v>4000</v>
      </c>
      <c r="L37" s="1">
        <f>0</f>
        <v>0</v>
      </c>
      <c r="M37" s="1"/>
    </row>
    <row r="38" spans="1:13" x14ac:dyDescent="0.25">
      <c r="A38" t="s">
        <v>44</v>
      </c>
      <c r="B38">
        <v>46</v>
      </c>
      <c r="C38">
        <v>25</v>
      </c>
      <c r="D38">
        <v>6</v>
      </c>
      <c r="E38">
        <f>ROUNDDOWN(Table1[candies]/Table1[candies/evo],0)</f>
        <v>1</v>
      </c>
      <c r="F38" s="1">
        <f>IF(Table1[[#This Row],[repeats]]&lt;Table1[[#This Row],[evos pre-xfers]],"",((Table1[[#This Row],[evos pre-xfers]]+1)*Table1[[#This Row],[candies/evo]])-Table1[[#This Row],[candies]])</f>
        <v>4</v>
      </c>
      <c r="G38" s="1">
        <f>IF(Table1[[#This Row],[transfers for extra evo]]&lt;Table1[[#This Row],[repeats]],Table1[[#This Row],[transfers for extra evo]],"")</f>
        <v>4</v>
      </c>
      <c r="H38">
        <f>IF(ISNUMBER(Table1[[#This Row],[extra evos after transfers]]),Table1[[#This Row],[evos pre-xfers]]+1,Table1[[#This Row],[evos pre-xfers]])</f>
        <v>2</v>
      </c>
      <c r="I38" s="1">
        <f>Table1[[#This Row],[total evos]]*500</f>
        <v>1000</v>
      </c>
      <c r="J38" s="1">
        <f>Table1[[#This Row],[base xp]]*2</f>
        <v>2000</v>
      </c>
      <c r="K38" s="1">
        <f>Table1[[#This Row],[2x event xp]]*2</f>
        <v>4000</v>
      </c>
      <c r="L38" s="1">
        <f>0</f>
        <v>0</v>
      </c>
      <c r="M38" s="1">
        <v>1</v>
      </c>
    </row>
    <row r="39" spans="1:13" x14ac:dyDescent="0.25">
      <c r="A39" t="s">
        <v>45</v>
      </c>
      <c r="B39">
        <v>56</v>
      </c>
      <c r="C39">
        <v>25</v>
      </c>
      <c r="D39">
        <v>2</v>
      </c>
      <c r="E39">
        <f>ROUNDDOWN(Table1[candies]/Table1[candies/evo],0)</f>
        <v>2</v>
      </c>
      <c r="F39" s="1">
        <f>IF(Table1[[#This Row],[repeats]]&lt;Table1[[#This Row],[evos pre-xfers]],"",((Table1[[#This Row],[evos pre-xfers]]+1)*Table1[[#This Row],[candies/evo]])-Table1[[#This Row],[candies]])</f>
        <v>19</v>
      </c>
      <c r="G39" s="1" t="str">
        <f>IF(Table1[[#This Row],[transfers for extra evo]]&lt;Table1[[#This Row],[repeats]],Table1[[#This Row],[transfers for extra evo]],"")</f>
        <v/>
      </c>
      <c r="H39">
        <f>IF(ISNUMBER(Table1[[#This Row],[extra evos after transfers]]),Table1[[#This Row],[evos pre-xfers]]+1,Table1[[#This Row],[evos pre-xfers]])</f>
        <v>2</v>
      </c>
      <c r="I39" s="1">
        <f>Table1[[#This Row],[total evos]]*500</f>
        <v>1000</v>
      </c>
      <c r="J39" s="1">
        <f>Table1[[#This Row],[base xp]]*2</f>
        <v>2000</v>
      </c>
      <c r="K39" s="1">
        <f>Table1[[#This Row],[2x event xp]]*2</f>
        <v>4000</v>
      </c>
      <c r="L39" s="1">
        <f>0</f>
        <v>0</v>
      </c>
      <c r="M39" s="1">
        <v>1</v>
      </c>
    </row>
    <row r="40" spans="1:13" x14ac:dyDescent="0.25">
      <c r="A40" t="s">
        <v>46</v>
      </c>
      <c r="B40">
        <v>55</v>
      </c>
      <c r="C40">
        <v>50</v>
      </c>
      <c r="D40">
        <v>3</v>
      </c>
      <c r="E40">
        <f>ROUNDDOWN(Table1[candies]/Table1[candies/evo],0)</f>
        <v>1</v>
      </c>
      <c r="F40" s="1">
        <f>IF(Table1[[#This Row],[repeats]]&lt;Table1[[#This Row],[evos pre-xfers]],"",((Table1[[#This Row],[evos pre-xfers]]+1)*Table1[[#This Row],[candies/evo]])-Table1[[#This Row],[candies]])</f>
        <v>45</v>
      </c>
      <c r="G40" s="1" t="str">
        <f>IF(Table1[[#This Row],[transfers for extra evo]]&lt;Table1[[#This Row],[repeats]],Table1[[#This Row],[transfers for extra evo]],"")</f>
        <v/>
      </c>
      <c r="H40">
        <f>IF(ISNUMBER(Table1[[#This Row],[extra evos after transfers]]),Table1[[#This Row],[evos pre-xfers]]+1,Table1[[#This Row],[evos pre-xfers]])</f>
        <v>1</v>
      </c>
      <c r="I40" s="1">
        <f>Table1[[#This Row],[total evos]]*500</f>
        <v>500</v>
      </c>
      <c r="J40" s="1">
        <f>Table1[[#This Row],[base xp]]*2</f>
        <v>1000</v>
      </c>
      <c r="K40" s="1">
        <f>Table1[[#This Row],[2x event xp]]*2</f>
        <v>2000</v>
      </c>
      <c r="L40" s="1">
        <f>0</f>
        <v>0</v>
      </c>
      <c r="M40" s="1">
        <v>1</v>
      </c>
    </row>
    <row r="41" spans="1:13" x14ac:dyDescent="0.25">
      <c r="A41" t="s">
        <v>47</v>
      </c>
      <c r="B41">
        <v>45</v>
      </c>
      <c r="C41">
        <v>25</v>
      </c>
      <c r="D41">
        <v>3</v>
      </c>
      <c r="E41">
        <f>ROUNDDOWN(Table1[candies]/Table1[candies/evo],0)</f>
        <v>1</v>
      </c>
      <c r="F41" s="1">
        <f>IF(Table1[[#This Row],[repeats]]&lt;Table1[[#This Row],[evos pre-xfers]],"",((Table1[[#This Row],[evos pre-xfers]]+1)*Table1[[#This Row],[candies/evo]])-Table1[[#This Row],[candies]])</f>
        <v>5</v>
      </c>
      <c r="G41" s="1" t="str">
        <f>IF(Table1[[#This Row],[transfers for extra evo]]&lt;Table1[[#This Row],[repeats]],Table1[[#This Row],[transfers for extra evo]],"")</f>
        <v/>
      </c>
      <c r="H41">
        <f>IF(ISNUMBER(Table1[[#This Row],[extra evos after transfers]]),Table1[[#This Row],[evos pre-xfers]]+1,Table1[[#This Row],[evos pre-xfers]])</f>
        <v>1</v>
      </c>
      <c r="I41" s="1">
        <f>Table1[[#This Row],[total evos]]*500</f>
        <v>500</v>
      </c>
      <c r="J41" s="1">
        <f>Table1[[#This Row],[base xp]]*2</f>
        <v>1000</v>
      </c>
      <c r="K41" s="1">
        <f>Table1[[#This Row],[2x event xp]]*2</f>
        <v>2000</v>
      </c>
      <c r="L41" s="1">
        <f>0</f>
        <v>0</v>
      </c>
      <c r="M41" s="1"/>
    </row>
    <row r="42" spans="1:13" x14ac:dyDescent="0.25">
      <c r="A42" t="s">
        <v>48</v>
      </c>
      <c r="B42">
        <v>46</v>
      </c>
      <c r="C42">
        <v>25</v>
      </c>
      <c r="D42">
        <v>7</v>
      </c>
      <c r="E42">
        <f>ROUNDDOWN(Table1[candies]/Table1[candies/evo],0)</f>
        <v>1</v>
      </c>
      <c r="F42" s="1">
        <f>IF(Table1[[#This Row],[repeats]]&lt;Table1[[#This Row],[evos pre-xfers]],"",((Table1[[#This Row],[evos pre-xfers]]+1)*Table1[[#This Row],[candies/evo]])-Table1[[#This Row],[candies]])</f>
        <v>4</v>
      </c>
      <c r="G42" s="1">
        <f>IF(Table1[[#This Row],[transfers for extra evo]]&lt;Table1[[#This Row],[repeats]],Table1[[#This Row],[transfers for extra evo]],"")</f>
        <v>4</v>
      </c>
      <c r="H42">
        <f>IF(ISNUMBER(Table1[[#This Row],[extra evos after transfers]]),Table1[[#This Row],[evos pre-xfers]]+1,Table1[[#This Row],[evos pre-xfers]])</f>
        <v>2</v>
      </c>
      <c r="I42" s="1">
        <f>Table1[[#This Row],[total evos]]*500</f>
        <v>1000</v>
      </c>
      <c r="J42" s="1">
        <f>Table1[[#This Row],[base xp]]*2</f>
        <v>2000</v>
      </c>
      <c r="K42" s="1">
        <f>Table1[[#This Row],[2x event xp]]*2</f>
        <v>4000</v>
      </c>
      <c r="L42" s="1">
        <f>0</f>
        <v>0</v>
      </c>
      <c r="M42" s="1">
        <v>1</v>
      </c>
    </row>
    <row r="43" spans="1:13" x14ac:dyDescent="0.25">
      <c r="A43" t="s">
        <v>49</v>
      </c>
      <c r="B43">
        <v>48</v>
      </c>
      <c r="C43">
        <v>25</v>
      </c>
      <c r="D43">
        <v>5</v>
      </c>
      <c r="E43">
        <f>ROUNDDOWN(Table1[candies]/Table1[candies/evo],0)</f>
        <v>1</v>
      </c>
      <c r="F43" s="1">
        <f>IF(Table1[[#This Row],[repeats]]&lt;Table1[[#This Row],[evos pre-xfers]],"",((Table1[[#This Row],[evos pre-xfers]]+1)*Table1[[#This Row],[candies/evo]])-Table1[[#This Row],[candies]])</f>
        <v>2</v>
      </c>
      <c r="G43" s="1">
        <f>IF(Table1[[#This Row],[transfers for extra evo]]&lt;Table1[[#This Row],[repeats]],Table1[[#This Row],[transfers for extra evo]],"")</f>
        <v>2</v>
      </c>
      <c r="H43">
        <f>IF(ISNUMBER(Table1[[#This Row],[extra evos after transfers]]),Table1[[#This Row],[evos pre-xfers]]+1,Table1[[#This Row],[evos pre-xfers]])</f>
        <v>2</v>
      </c>
      <c r="I43" s="1">
        <f>Table1[[#This Row],[total evos]]*500</f>
        <v>1000</v>
      </c>
      <c r="J43" s="1">
        <f>Table1[[#This Row],[base xp]]*2</f>
        <v>2000</v>
      </c>
      <c r="K43" s="1">
        <f>Table1[[#This Row],[2x event xp]]*2</f>
        <v>4000</v>
      </c>
      <c r="L43" s="1">
        <f>0</f>
        <v>0</v>
      </c>
      <c r="M43" s="1">
        <v>1</v>
      </c>
    </row>
    <row r="44" spans="1:13" x14ac:dyDescent="0.25">
      <c r="A44" t="s">
        <v>50</v>
      </c>
      <c r="B44">
        <v>59</v>
      </c>
      <c r="C44">
        <v>50</v>
      </c>
      <c r="D44">
        <v>2</v>
      </c>
      <c r="E44">
        <f>ROUNDDOWN(Table1[candies]/Table1[candies/evo],0)</f>
        <v>1</v>
      </c>
      <c r="F44" s="1">
        <f>IF(Table1[[#This Row],[repeats]]&lt;Table1[[#This Row],[evos pre-xfers]],"",((Table1[[#This Row],[evos pre-xfers]]+1)*Table1[[#This Row],[candies/evo]])-Table1[[#This Row],[candies]])</f>
        <v>41</v>
      </c>
      <c r="G44" s="1" t="str">
        <f>IF(Table1[[#This Row],[transfers for extra evo]]&lt;Table1[[#This Row],[repeats]],Table1[[#This Row],[transfers for extra evo]],"")</f>
        <v/>
      </c>
      <c r="H44">
        <f>IF(ISNUMBER(Table1[[#This Row],[extra evos after transfers]]),Table1[[#This Row],[evos pre-xfers]]+1,Table1[[#This Row],[evos pre-xfers]])</f>
        <v>1</v>
      </c>
      <c r="I44" s="1">
        <f>Table1[[#This Row],[total evos]]*500</f>
        <v>500</v>
      </c>
      <c r="J44" s="1">
        <f>Table1[[#This Row],[base xp]]*2</f>
        <v>1000</v>
      </c>
      <c r="K44" s="1">
        <f>Table1[[#This Row],[2x event xp]]*2</f>
        <v>2000</v>
      </c>
      <c r="L44" s="1">
        <f>0</f>
        <v>0</v>
      </c>
      <c r="M44" s="1">
        <v>1</v>
      </c>
    </row>
    <row r="45" spans="1:13" x14ac:dyDescent="0.25">
      <c r="A45" t="s">
        <v>51</v>
      </c>
      <c r="B45">
        <v>76</v>
      </c>
      <c r="C45">
        <v>12</v>
      </c>
      <c r="D45">
        <v>4</v>
      </c>
      <c r="E45">
        <f>ROUNDDOWN(Table1[candies]/Table1[candies/evo],0)</f>
        <v>6</v>
      </c>
      <c r="F45" s="1" t="str">
        <f>IF(Table1[[#This Row],[repeats]]&lt;Table1[[#This Row],[evos pre-xfers]],"",((Table1[[#This Row],[evos pre-xfers]]+1)*Table1[[#This Row],[candies/evo]])-Table1[[#This Row],[candies]])</f>
        <v/>
      </c>
      <c r="G45" s="1" t="str">
        <f>IF(Table1[[#This Row],[transfers for extra evo]]&lt;Table1[[#This Row],[repeats]],Table1[[#This Row],[transfers for extra evo]],"")</f>
        <v/>
      </c>
      <c r="H45">
        <f>IF(ISNUMBER(Table1[[#This Row],[extra evos after transfers]]),Table1[[#This Row],[evos pre-xfers]]+1,Table1[[#This Row],[evos pre-xfers]])</f>
        <v>6</v>
      </c>
      <c r="I45" s="1">
        <f>Table1[[#This Row],[total evos]]*500</f>
        <v>3000</v>
      </c>
      <c r="J45" s="1">
        <f>Table1[[#This Row],[base xp]]*2</f>
        <v>6000</v>
      </c>
      <c r="K45" s="1">
        <f>Table1[[#This Row],[2x event xp]]*2</f>
        <v>12000</v>
      </c>
      <c r="L45" s="1">
        <f>0</f>
        <v>0</v>
      </c>
      <c r="M45" s="1">
        <v>1</v>
      </c>
    </row>
    <row r="46" spans="1:13" x14ac:dyDescent="0.25">
      <c r="A46" t="s">
        <v>52</v>
      </c>
      <c r="B46">
        <v>104</v>
      </c>
      <c r="C46">
        <v>25</v>
      </c>
      <c r="D46">
        <v>4</v>
      </c>
      <c r="E46">
        <f>ROUNDDOWN(Table1[candies]/Table1[candies/evo],0)</f>
        <v>4</v>
      </c>
      <c r="F46" s="1">
        <f>IF(Table1[[#This Row],[repeats]]&lt;Table1[[#This Row],[evos pre-xfers]],"",((Table1[[#This Row],[evos pre-xfers]]+1)*Table1[[#This Row],[candies/evo]])-Table1[[#This Row],[candies]])</f>
        <v>21</v>
      </c>
      <c r="G46" s="1" t="str">
        <f>IF(Table1[[#This Row],[transfers for extra evo]]&lt;Table1[[#This Row],[repeats]],Table1[[#This Row],[transfers for extra evo]],"")</f>
        <v/>
      </c>
      <c r="H46">
        <f>IF(ISNUMBER(Table1[[#This Row],[extra evos after transfers]]),Table1[[#This Row],[evos pre-xfers]]+1,Table1[[#This Row],[evos pre-xfers]])</f>
        <v>4</v>
      </c>
      <c r="I46" s="1">
        <f>Table1[[#This Row],[total evos]]*500</f>
        <v>2000</v>
      </c>
      <c r="J46" s="1">
        <f>Table1[[#This Row],[base xp]]*2</f>
        <v>4000</v>
      </c>
      <c r="K46" s="1">
        <f>Table1[[#This Row],[2x event xp]]*2</f>
        <v>8000</v>
      </c>
      <c r="L46" s="1">
        <f>0</f>
        <v>0</v>
      </c>
      <c r="M46" s="1"/>
    </row>
    <row r="47" spans="1:13" x14ac:dyDescent="0.25">
      <c r="A47" t="s">
        <v>53</v>
      </c>
      <c r="B47">
        <v>52</v>
      </c>
      <c r="C47">
        <v>50</v>
      </c>
      <c r="D47">
        <v>2</v>
      </c>
      <c r="E47">
        <f>ROUNDDOWN(Table1[candies]/Table1[candies/evo],0)</f>
        <v>1</v>
      </c>
      <c r="F47" s="1">
        <f>IF(Table1[[#This Row],[repeats]]&lt;Table1[[#This Row],[evos pre-xfers]],"",((Table1[[#This Row],[evos pre-xfers]]+1)*Table1[[#This Row],[candies/evo]])-Table1[[#This Row],[candies]])</f>
        <v>48</v>
      </c>
      <c r="G47" s="1" t="str">
        <f>IF(Table1[[#This Row],[transfers for extra evo]]&lt;Table1[[#This Row],[repeats]],Table1[[#This Row],[transfers for extra evo]],"")</f>
        <v/>
      </c>
      <c r="H47">
        <f>IF(ISNUMBER(Table1[[#This Row],[extra evos after transfers]]),Table1[[#This Row],[evos pre-xfers]]+1,Table1[[#This Row],[evos pre-xfers]])</f>
        <v>1</v>
      </c>
      <c r="I47" s="1">
        <f>Table1[[#This Row],[total evos]]*500</f>
        <v>500</v>
      </c>
      <c r="J47" s="1">
        <f>Table1[[#This Row],[base xp]]*2</f>
        <v>1000</v>
      </c>
      <c r="K47" s="1">
        <f>Table1[[#This Row],[2x event xp]]*2</f>
        <v>2000</v>
      </c>
      <c r="L47" s="1">
        <f>0</f>
        <v>0</v>
      </c>
      <c r="M47" s="1"/>
    </row>
    <row r="48" spans="1:13" x14ac:dyDescent="0.25">
      <c r="A48" t="s">
        <v>54</v>
      </c>
      <c r="B48">
        <v>41</v>
      </c>
      <c r="C48">
        <v>25</v>
      </c>
      <c r="D48">
        <v>4</v>
      </c>
      <c r="E48">
        <f>ROUNDDOWN(Table1[candies]/Table1[candies/evo],0)</f>
        <v>1</v>
      </c>
      <c r="F48" s="1">
        <f>IF(Table1[[#This Row],[repeats]]&lt;Table1[[#This Row],[evos pre-xfers]],"",((Table1[[#This Row],[evos pre-xfers]]+1)*Table1[[#This Row],[candies/evo]])-Table1[[#This Row],[candies]])</f>
        <v>9</v>
      </c>
      <c r="G48" s="1" t="str">
        <f>IF(Table1[[#This Row],[transfers for extra evo]]&lt;Table1[[#This Row],[repeats]],Table1[[#This Row],[transfers for extra evo]],"")</f>
        <v/>
      </c>
      <c r="H48">
        <f>IF(ISNUMBER(Table1[[#This Row],[extra evos after transfers]]),Table1[[#This Row],[evos pre-xfers]]+1,Table1[[#This Row],[evos pre-xfers]])</f>
        <v>1</v>
      </c>
      <c r="I48" s="1">
        <f>Table1[[#This Row],[total evos]]*500</f>
        <v>500</v>
      </c>
      <c r="J48" s="1">
        <f>Table1[[#This Row],[base xp]]*2</f>
        <v>1000</v>
      </c>
      <c r="K48" s="1">
        <f>Table1[[#This Row],[2x event xp]]*2</f>
        <v>2000</v>
      </c>
      <c r="L48" s="1">
        <f>0</f>
        <v>0</v>
      </c>
      <c r="M48" s="1">
        <v>1</v>
      </c>
    </row>
    <row r="49" spans="1:13" x14ac:dyDescent="0.25">
      <c r="A49" t="s">
        <v>55</v>
      </c>
      <c r="B49">
        <v>40</v>
      </c>
      <c r="C49">
        <v>12</v>
      </c>
      <c r="D49">
        <v>2</v>
      </c>
      <c r="E49">
        <f>ROUNDDOWN(Table1[candies]/Table1[candies/evo],0)</f>
        <v>3</v>
      </c>
      <c r="F49" s="1" t="str">
        <f>IF(Table1[[#This Row],[repeats]]&lt;Table1[[#This Row],[evos pre-xfers]],"",((Table1[[#This Row],[evos pre-xfers]]+1)*Table1[[#This Row],[candies/evo]])-Table1[[#This Row],[candies]])</f>
        <v/>
      </c>
      <c r="G49" s="1" t="str">
        <f>IF(Table1[[#This Row],[transfers for extra evo]]&lt;Table1[[#This Row],[repeats]],Table1[[#This Row],[transfers for extra evo]],"")</f>
        <v/>
      </c>
      <c r="H49">
        <f>IF(ISNUMBER(Table1[[#This Row],[extra evos after transfers]]),Table1[[#This Row],[evos pre-xfers]]+1,Table1[[#This Row],[evos pre-xfers]])</f>
        <v>3</v>
      </c>
      <c r="I49" s="1">
        <f>Table1[[#This Row],[total evos]]*500</f>
        <v>1500</v>
      </c>
      <c r="J49" s="1">
        <f>Table1[[#This Row],[base xp]]*2</f>
        <v>3000</v>
      </c>
      <c r="K49" s="1">
        <f>Table1[[#This Row],[2x event xp]]*2</f>
        <v>6000</v>
      </c>
      <c r="L49" s="1">
        <f>0</f>
        <v>0</v>
      </c>
      <c r="M49" s="1">
        <v>1</v>
      </c>
    </row>
    <row r="50" spans="1:13" x14ac:dyDescent="0.25">
      <c r="A50" t="s">
        <v>56</v>
      </c>
      <c r="B50">
        <v>108</v>
      </c>
      <c r="C50">
        <v>50</v>
      </c>
      <c r="D50">
        <v>5</v>
      </c>
      <c r="E50">
        <f>ROUNDDOWN(Table1[candies]/Table1[candies/evo],0)</f>
        <v>2</v>
      </c>
      <c r="F50" s="1">
        <f>IF(Table1[[#This Row],[repeats]]&lt;Table1[[#This Row],[evos pre-xfers]],"",((Table1[[#This Row],[evos pre-xfers]]+1)*Table1[[#This Row],[candies/evo]])-Table1[[#This Row],[candies]])</f>
        <v>42</v>
      </c>
      <c r="G50" s="1" t="str">
        <f>IF(Table1[[#This Row],[transfers for extra evo]]&lt;Table1[[#This Row],[repeats]],Table1[[#This Row],[transfers for extra evo]],"")</f>
        <v/>
      </c>
      <c r="H50">
        <f>IF(ISNUMBER(Table1[[#This Row],[extra evos after transfers]]),Table1[[#This Row],[evos pre-xfers]]+1,Table1[[#This Row],[evos pre-xfers]])</f>
        <v>2</v>
      </c>
      <c r="I50" s="1">
        <f>Table1[[#This Row],[total evos]]*500</f>
        <v>1000</v>
      </c>
      <c r="J50" s="1">
        <f>Table1[[#This Row],[base xp]]*2</f>
        <v>2000</v>
      </c>
      <c r="K50" s="1">
        <f>Table1[[#This Row],[2x event xp]]*2</f>
        <v>4000</v>
      </c>
      <c r="L50" s="1">
        <f>0</f>
        <v>0</v>
      </c>
      <c r="M50" s="1">
        <v>1</v>
      </c>
    </row>
    <row r="51" spans="1:13" x14ac:dyDescent="0.25">
      <c r="A51" t="s">
        <v>61</v>
      </c>
      <c r="B51">
        <v>69</v>
      </c>
      <c r="C51">
        <v>25</v>
      </c>
      <c r="D51">
        <v>8</v>
      </c>
      <c r="E51">
        <f>ROUNDDOWN(Table1[candies]/Table1[candies/evo],0)</f>
        <v>2</v>
      </c>
      <c r="F51" s="1">
        <f>IF(Table1[[#This Row],[repeats]]&lt;Table1[[#This Row],[evos pre-xfers]],"",((Table1[[#This Row],[evos pre-xfers]]+1)*Table1[[#This Row],[candies/evo]])-Table1[[#This Row],[candies]])</f>
        <v>6</v>
      </c>
      <c r="G51" s="1">
        <f>IF(Table1[[#This Row],[transfers for extra evo]]&lt;Table1[[#This Row],[repeats]],Table1[[#This Row],[transfers for extra evo]],"")</f>
        <v>6</v>
      </c>
      <c r="H51">
        <f>IF(ISNUMBER(Table1[[#This Row],[extra evos after transfers]]),Table1[[#This Row],[evos pre-xfers]]+1,Table1[[#This Row],[evos pre-xfers]])</f>
        <v>3</v>
      </c>
      <c r="I51" s="1">
        <f>Table1[[#This Row],[total evos]]*500</f>
        <v>1500</v>
      </c>
      <c r="J51" s="1">
        <f>Table1[[#This Row],[base xp]]*2</f>
        <v>3000</v>
      </c>
      <c r="K51" s="1">
        <f>Table1[[#This Row],[2x event xp]]*2</f>
        <v>6000</v>
      </c>
      <c r="L51" s="1">
        <f>0</f>
        <v>0</v>
      </c>
      <c r="M51" s="1">
        <v>1</v>
      </c>
    </row>
    <row r="52" spans="1:13" x14ac:dyDescent="0.25">
      <c r="A52" t="s">
        <v>62</v>
      </c>
      <c r="B52">
        <v>73</v>
      </c>
      <c r="C52">
        <v>50</v>
      </c>
      <c r="D52">
        <v>2</v>
      </c>
      <c r="E52">
        <f>ROUNDDOWN(Table1[candies]/Table1[candies/evo],0)</f>
        <v>1</v>
      </c>
      <c r="F52" s="1">
        <f>IF(Table1[[#This Row],[repeats]]&lt;Table1[[#This Row],[evos pre-xfers]],"",((Table1[[#This Row],[evos pre-xfers]]+1)*Table1[[#This Row],[candies/evo]])-Table1[[#This Row],[candies]])</f>
        <v>27</v>
      </c>
      <c r="G52" s="1" t="str">
        <f>IF(Table1[[#This Row],[transfers for extra evo]]&lt;Table1[[#This Row],[repeats]],Table1[[#This Row],[transfers for extra evo]],"")</f>
        <v/>
      </c>
      <c r="H52">
        <f>IF(ISNUMBER(Table1[[#This Row],[extra evos after transfers]]),Table1[[#This Row],[evos pre-xfers]]+1,Table1[[#This Row],[evos pre-xfers]])</f>
        <v>1</v>
      </c>
      <c r="I52" s="1">
        <f>Table1[[#This Row],[total evos]]*500</f>
        <v>500</v>
      </c>
      <c r="J52" s="1">
        <f>Table1[[#This Row],[base xp]]*2</f>
        <v>1000</v>
      </c>
      <c r="K52" s="1">
        <f>Table1[[#This Row],[2x event xp]]*2</f>
        <v>2000</v>
      </c>
      <c r="L52" s="1">
        <f>0</f>
        <v>0</v>
      </c>
      <c r="M52" s="1">
        <v>1</v>
      </c>
    </row>
    <row r="53" spans="1:13" x14ac:dyDescent="0.25">
      <c r="A53" t="s">
        <v>63</v>
      </c>
      <c r="B53">
        <v>65</v>
      </c>
      <c r="C53">
        <v>25</v>
      </c>
      <c r="D53">
        <v>6</v>
      </c>
      <c r="E53">
        <f>ROUNDDOWN(Table1[candies]/Table1[candies/evo],0)</f>
        <v>2</v>
      </c>
      <c r="F53" s="1">
        <f>IF(Table1[[#This Row],[repeats]]&lt;Table1[[#This Row],[evos pre-xfers]],"",((Table1[[#This Row],[evos pre-xfers]]+1)*Table1[[#This Row],[candies/evo]])-Table1[[#This Row],[candies]])</f>
        <v>10</v>
      </c>
      <c r="G53" s="1" t="str">
        <f>IF(Table1[[#This Row],[transfers for extra evo]]&lt;Table1[[#This Row],[repeats]],Table1[[#This Row],[transfers for extra evo]],"")</f>
        <v/>
      </c>
      <c r="H53">
        <f>IF(ISNUMBER(Table1[[#This Row],[extra evos after transfers]]),Table1[[#This Row],[evos pre-xfers]]+1,Table1[[#This Row],[evos pre-xfers]])</f>
        <v>2</v>
      </c>
      <c r="I53" s="1">
        <f>Table1[[#This Row],[total evos]]*500</f>
        <v>1000</v>
      </c>
      <c r="J53" s="1">
        <f>Table1[[#This Row],[base xp]]*2</f>
        <v>2000</v>
      </c>
      <c r="K53" s="1">
        <f>Table1[[#This Row],[2x event xp]]*2</f>
        <v>4000</v>
      </c>
      <c r="L53" s="1">
        <f>0</f>
        <v>0</v>
      </c>
      <c r="M53" s="1">
        <v>1</v>
      </c>
    </row>
    <row r="54" spans="1:13" x14ac:dyDescent="0.25">
      <c r="A54" t="s">
        <v>64</v>
      </c>
      <c r="B54">
        <v>62</v>
      </c>
      <c r="C54">
        <v>25</v>
      </c>
      <c r="D54">
        <v>6</v>
      </c>
      <c r="E54">
        <f>ROUNDDOWN(Table1[candies]/Table1[candies/evo],0)</f>
        <v>2</v>
      </c>
      <c r="F54" s="1">
        <f>IF(Table1[[#This Row],[repeats]]&lt;Table1[[#This Row],[evos pre-xfers]],"",((Table1[[#This Row],[evos pre-xfers]]+1)*Table1[[#This Row],[candies/evo]])-Table1[[#This Row],[candies]])</f>
        <v>13</v>
      </c>
      <c r="G54" s="1" t="str">
        <f>IF(Table1[[#This Row],[transfers for extra evo]]&lt;Table1[[#This Row],[repeats]],Table1[[#This Row],[transfers for extra evo]],"")</f>
        <v/>
      </c>
      <c r="H54">
        <f>IF(ISNUMBER(Table1[[#This Row],[extra evos after transfers]]),Table1[[#This Row],[evos pre-xfers]]+1,Table1[[#This Row],[evos pre-xfers]])</f>
        <v>2</v>
      </c>
      <c r="I54" s="1">
        <f>Table1[[#This Row],[total evos]]*500</f>
        <v>1000</v>
      </c>
      <c r="J54" s="1">
        <f>Table1[[#This Row],[base xp]]*2</f>
        <v>2000</v>
      </c>
      <c r="K54" s="1">
        <f>Table1[[#This Row],[2x event xp]]*2</f>
        <v>4000</v>
      </c>
      <c r="L54" s="1">
        <f>0</f>
        <v>0</v>
      </c>
      <c r="M54" s="1"/>
    </row>
    <row r="55" spans="1:13" x14ac:dyDescent="0.25">
      <c r="A55" t="s">
        <v>65</v>
      </c>
      <c r="B55">
        <v>34</v>
      </c>
      <c r="C55">
        <v>25</v>
      </c>
      <c r="D55">
        <v>2</v>
      </c>
      <c r="E55">
        <f>ROUNDDOWN(Table1[candies]/Table1[candies/evo],0)</f>
        <v>1</v>
      </c>
      <c r="F55" s="1">
        <f>IF(Table1[[#This Row],[repeats]]&lt;Table1[[#This Row],[evos pre-xfers]],"",((Table1[[#This Row],[evos pre-xfers]]+1)*Table1[[#This Row],[candies/evo]])-Table1[[#This Row],[candies]])</f>
        <v>16</v>
      </c>
      <c r="G55" s="1" t="str">
        <f>IF(Table1[[#This Row],[transfers for extra evo]]&lt;Table1[[#This Row],[repeats]],Table1[[#This Row],[transfers for extra evo]],"")</f>
        <v/>
      </c>
      <c r="H55">
        <f>IF(ISNUMBER(Table1[[#This Row],[extra evos after transfers]]),Table1[[#This Row],[evos pre-xfers]]+1,Table1[[#This Row],[evos pre-xfers]])</f>
        <v>1</v>
      </c>
      <c r="I55" s="1">
        <f>Table1[[#This Row],[total evos]]*500</f>
        <v>500</v>
      </c>
      <c r="J55" s="1">
        <f>Table1[[#This Row],[base xp]]*2</f>
        <v>1000</v>
      </c>
      <c r="K55" s="1">
        <f>Table1[[#This Row],[2x event xp]]*2</f>
        <v>2000</v>
      </c>
      <c r="L55" s="1">
        <f>0</f>
        <v>0</v>
      </c>
      <c r="M55" s="1">
        <v>1</v>
      </c>
    </row>
    <row r="56" spans="1:13" x14ac:dyDescent="0.25">
      <c r="A56" t="s">
        <v>66</v>
      </c>
      <c r="B56">
        <v>60</v>
      </c>
      <c r="C56">
        <v>50</v>
      </c>
      <c r="D56">
        <v>4</v>
      </c>
      <c r="E56">
        <f>ROUNDDOWN(Table1[candies]/Table1[candies/evo],0)</f>
        <v>1</v>
      </c>
      <c r="F56" s="1">
        <f>IF(Table1[[#This Row],[repeats]]&lt;Table1[[#This Row],[evos pre-xfers]],"",((Table1[[#This Row],[evos pre-xfers]]+1)*Table1[[#This Row],[candies/evo]])-Table1[[#This Row],[candies]])</f>
        <v>40</v>
      </c>
      <c r="G56" s="1" t="str">
        <f>IF(Table1[[#This Row],[transfers for extra evo]]&lt;Table1[[#This Row],[repeats]],Table1[[#This Row],[transfers for extra evo]],"")</f>
        <v/>
      </c>
      <c r="H56">
        <f>IF(ISNUMBER(Table1[[#This Row],[extra evos after transfers]]),Table1[[#This Row],[evos pre-xfers]]+1,Table1[[#This Row],[evos pre-xfers]])</f>
        <v>1</v>
      </c>
      <c r="I56" s="1">
        <f>Table1[[#This Row],[total evos]]*500</f>
        <v>500</v>
      </c>
      <c r="J56" s="1">
        <f>Table1[[#This Row],[base xp]]*2</f>
        <v>1000</v>
      </c>
      <c r="K56" s="1">
        <f>Table1[[#This Row],[2x event xp]]*2</f>
        <v>2000</v>
      </c>
      <c r="L56" s="1">
        <f>0</f>
        <v>0</v>
      </c>
      <c r="M56" s="1">
        <v>1</v>
      </c>
    </row>
    <row r="57" spans="1:13" x14ac:dyDescent="0.25">
      <c r="A57" t="s">
        <v>67</v>
      </c>
      <c r="B57">
        <v>26</v>
      </c>
      <c r="C57">
        <v>25</v>
      </c>
      <c r="D57">
        <v>1</v>
      </c>
      <c r="E57">
        <f>ROUNDDOWN(Table1[candies]/Table1[candies/evo],0)</f>
        <v>1</v>
      </c>
      <c r="F57" s="1">
        <f>IF(Table1[[#This Row],[repeats]]&lt;Table1[[#This Row],[evos pre-xfers]],"",((Table1[[#This Row],[evos pre-xfers]]+1)*Table1[[#This Row],[candies/evo]])-Table1[[#This Row],[candies]])</f>
        <v>24</v>
      </c>
      <c r="G57" s="1" t="str">
        <f>IF(Table1[[#This Row],[transfers for extra evo]]&lt;Table1[[#This Row],[repeats]],Table1[[#This Row],[transfers for extra evo]],"")</f>
        <v/>
      </c>
      <c r="H57">
        <f>IF(ISNUMBER(Table1[[#This Row],[extra evos after transfers]]),Table1[[#This Row],[evos pre-xfers]]+1,Table1[[#This Row],[evos pre-xfers]])</f>
        <v>1</v>
      </c>
      <c r="I57" s="1">
        <f>Table1[[#This Row],[total evos]]*500</f>
        <v>500</v>
      </c>
      <c r="J57" s="1">
        <f>Table1[[#This Row],[base xp]]*2</f>
        <v>1000</v>
      </c>
      <c r="K57" s="1">
        <f>Table1[[#This Row],[2x event xp]]*2</f>
        <v>2000</v>
      </c>
      <c r="L57" s="1">
        <f>0</f>
        <v>0</v>
      </c>
      <c r="M57" s="1">
        <v>1</v>
      </c>
    </row>
    <row r="58" spans="1:13" x14ac:dyDescent="0.25">
      <c r="A58" t="s">
        <v>68</v>
      </c>
      <c r="B58">
        <v>115</v>
      </c>
      <c r="C58">
        <v>50</v>
      </c>
      <c r="D58">
        <v>30</v>
      </c>
      <c r="E58">
        <f>ROUNDDOWN(Table1[candies]/Table1[candies/evo],0)</f>
        <v>2</v>
      </c>
      <c r="F58" s="1">
        <f>IF(Table1[[#This Row],[repeats]]&lt;Table1[[#This Row],[evos pre-xfers]],"",((Table1[[#This Row],[evos pre-xfers]]+1)*Table1[[#This Row],[candies/evo]])-Table1[[#This Row],[candies]])</f>
        <v>35</v>
      </c>
      <c r="G58" s="1" t="str">
        <f>IF(Table1[[#This Row],[transfers for extra evo]]&lt;Table1[[#This Row],[repeats]],Table1[[#This Row],[transfers for extra evo]],"")</f>
        <v/>
      </c>
      <c r="H58">
        <f>IF(ISNUMBER(Table1[[#This Row],[extra evos after transfers]]),Table1[[#This Row],[evos pre-xfers]]+1,Table1[[#This Row],[evos pre-xfers]])</f>
        <v>2</v>
      </c>
      <c r="I58" s="1">
        <f>Table1[[#This Row],[total evos]]*500</f>
        <v>1000</v>
      </c>
      <c r="J58" s="1">
        <f>Table1[[#This Row],[base xp]]*2</f>
        <v>2000</v>
      </c>
      <c r="K58" s="1">
        <f>Table1[[#This Row],[2x event xp]]*2</f>
        <v>4000</v>
      </c>
      <c r="L58" s="1">
        <f>0</f>
        <v>0</v>
      </c>
      <c r="M58" s="1">
        <v>2</v>
      </c>
    </row>
    <row r="59" spans="1:13" x14ac:dyDescent="0.25">
      <c r="A59" t="s">
        <v>69</v>
      </c>
      <c r="B59">
        <v>90</v>
      </c>
      <c r="C59">
        <v>50</v>
      </c>
      <c r="D59">
        <v>2</v>
      </c>
      <c r="E59">
        <f>ROUNDDOWN(Table1[candies]/Table1[candies/evo],0)</f>
        <v>1</v>
      </c>
      <c r="F59" s="1">
        <f>IF(Table1[[#This Row],[repeats]]&lt;Table1[[#This Row],[evos pre-xfers]],"",((Table1[[#This Row],[evos pre-xfers]]+1)*Table1[[#This Row],[candies/evo]])-Table1[[#This Row],[candies]])</f>
        <v>10</v>
      </c>
      <c r="G59" s="1" t="str">
        <f>IF(Table1[[#This Row],[transfers for extra evo]]&lt;Table1[[#This Row],[repeats]],Table1[[#This Row],[transfers for extra evo]],"")</f>
        <v/>
      </c>
      <c r="H59">
        <f>IF(ISNUMBER(Table1[[#This Row],[extra evos after transfers]]),Table1[[#This Row],[evos pre-xfers]]+1,Table1[[#This Row],[evos pre-xfers]])</f>
        <v>1</v>
      </c>
      <c r="I59" s="1">
        <f>Table1[[#This Row],[total evos]]*500</f>
        <v>500</v>
      </c>
      <c r="J59" s="1">
        <f>Table1[[#This Row],[base xp]]*2</f>
        <v>1000</v>
      </c>
      <c r="K59" s="1">
        <f>Table1[[#This Row],[2x event xp]]*2</f>
        <v>2000</v>
      </c>
      <c r="L59" s="1">
        <f>0</f>
        <v>0</v>
      </c>
      <c r="M59" s="1">
        <v>1</v>
      </c>
    </row>
    <row r="60" spans="1:13" x14ac:dyDescent="0.25">
      <c r="A60" t="s">
        <v>70</v>
      </c>
      <c r="B60">
        <v>44</v>
      </c>
      <c r="C60">
        <v>25</v>
      </c>
      <c r="D60">
        <v>4</v>
      </c>
      <c r="E60">
        <f>ROUNDDOWN(Table1[candies]/Table1[candies/evo],0)</f>
        <v>1</v>
      </c>
      <c r="F60" s="1">
        <f>IF(Table1[[#This Row],[repeats]]&lt;Table1[[#This Row],[evos pre-xfers]],"",((Table1[[#This Row],[evos pre-xfers]]+1)*Table1[[#This Row],[candies/evo]])-Table1[[#This Row],[candies]])</f>
        <v>6</v>
      </c>
      <c r="G60" s="1" t="str">
        <f>IF(Table1[[#This Row],[transfers for extra evo]]&lt;Table1[[#This Row],[repeats]],Table1[[#This Row],[transfers for extra evo]],"")</f>
        <v/>
      </c>
      <c r="H60">
        <f>IF(ISNUMBER(Table1[[#This Row],[extra evos after transfers]]),Table1[[#This Row],[evos pre-xfers]]+1,Table1[[#This Row],[evos pre-xfers]])</f>
        <v>1</v>
      </c>
      <c r="I60" s="1">
        <f>Table1[[#This Row],[total evos]]*500</f>
        <v>500</v>
      </c>
      <c r="J60" s="1">
        <f>Table1[[#This Row],[base xp]]*2</f>
        <v>1000</v>
      </c>
      <c r="K60" s="1">
        <f>Table1[[#This Row],[2x event xp]]*2</f>
        <v>2000</v>
      </c>
      <c r="L60" s="1">
        <f>0</f>
        <v>0</v>
      </c>
      <c r="M60" s="1">
        <v>1</v>
      </c>
    </row>
    <row r="61" spans="1:13" x14ac:dyDescent="0.25">
      <c r="A61" t="s">
        <v>71</v>
      </c>
      <c r="B61">
        <v>36</v>
      </c>
      <c r="C61">
        <v>25</v>
      </c>
      <c r="D61">
        <v>3</v>
      </c>
      <c r="E61">
        <f>ROUNDDOWN(Table1[candies]/Table1[candies/evo],0)</f>
        <v>1</v>
      </c>
      <c r="F61" s="1">
        <f>IF(Table1[[#This Row],[repeats]]&lt;Table1[[#This Row],[evos pre-xfers]],"",((Table1[[#This Row],[evos pre-xfers]]+1)*Table1[[#This Row],[candies/evo]])-Table1[[#This Row],[candies]])</f>
        <v>14</v>
      </c>
      <c r="G61" s="1" t="str">
        <f>IF(Table1[[#This Row],[transfers for extra evo]]&lt;Table1[[#This Row],[repeats]],Table1[[#This Row],[transfers for extra evo]],"")</f>
        <v/>
      </c>
      <c r="H61">
        <f>IF(ISNUMBER(Table1[[#This Row],[extra evos after transfers]]),Table1[[#This Row],[evos pre-xfers]]+1,Table1[[#This Row],[evos pre-xfers]])</f>
        <v>1</v>
      </c>
      <c r="I61" s="1">
        <f>Table1[[#This Row],[total evos]]*500</f>
        <v>500</v>
      </c>
      <c r="J61" s="1">
        <f>Table1[[#This Row],[base xp]]*2</f>
        <v>1000</v>
      </c>
      <c r="K61" s="1">
        <f>Table1[[#This Row],[2x event xp]]*2</f>
        <v>2000</v>
      </c>
      <c r="L61" s="1">
        <f>0</f>
        <v>0</v>
      </c>
      <c r="M61" s="1">
        <v>1</v>
      </c>
    </row>
    <row r="62" spans="1:13" x14ac:dyDescent="0.25">
      <c r="A62" t="s">
        <v>72</v>
      </c>
      <c r="B62">
        <v>100</v>
      </c>
      <c r="C62">
        <v>50</v>
      </c>
      <c r="D62">
        <v>2</v>
      </c>
      <c r="E62">
        <f>ROUNDDOWN(Table1[candies]/Table1[candies/evo],0)</f>
        <v>2</v>
      </c>
      <c r="F62" s="1">
        <f>IF(Table1[[#This Row],[repeats]]&lt;Table1[[#This Row],[evos pre-xfers]],"",((Table1[[#This Row],[evos pre-xfers]]+1)*Table1[[#This Row],[candies/evo]])-Table1[[#This Row],[candies]])</f>
        <v>50</v>
      </c>
      <c r="G62" s="1" t="str">
        <f>IF(Table1[[#This Row],[transfers for extra evo]]&lt;Table1[[#This Row],[repeats]],Table1[[#This Row],[transfers for extra evo]],"")</f>
        <v/>
      </c>
      <c r="H62">
        <f>IF(ISNUMBER(Table1[[#This Row],[extra evos after transfers]]),Table1[[#This Row],[evos pre-xfers]]+1,Table1[[#This Row],[evos pre-xfers]])</f>
        <v>2</v>
      </c>
      <c r="I62" s="1">
        <f>Table1[[#This Row],[total evos]]*500</f>
        <v>1000</v>
      </c>
      <c r="J62" s="1">
        <f>Table1[[#This Row],[base xp]]*2</f>
        <v>2000</v>
      </c>
      <c r="K62" s="1">
        <f>Table1[[#This Row],[2x event xp]]*2</f>
        <v>4000</v>
      </c>
      <c r="L62" s="1">
        <f>0</f>
        <v>0</v>
      </c>
      <c r="M62" s="1">
        <v>1</v>
      </c>
    </row>
    <row r="63" spans="1:13" x14ac:dyDescent="0.25">
      <c r="A63" t="s">
        <v>73</v>
      </c>
      <c r="B63">
        <v>117</v>
      </c>
      <c r="C63">
        <v>25</v>
      </c>
      <c r="D63">
        <v>21</v>
      </c>
      <c r="E63">
        <f>ROUNDDOWN(Table1[candies]/Table1[candies/evo],0)</f>
        <v>4</v>
      </c>
      <c r="F63" s="1">
        <f>IF(Table1[[#This Row],[repeats]]&lt;Table1[[#This Row],[evos pre-xfers]],"",((Table1[[#This Row],[evos pre-xfers]]+1)*Table1[[#This Row],[candies/evo]])-Table1[[#This Row],[candies]])</f>
        <v>8</v>
      </c>
      <c r="G63" s="1">
        <f>IF(Table1[[#This Row],[transfers for extra evo]]&lt;Table1[[#This Row],[repeats]],Table1[[#This Row],[transfers for extra evo]],"")</f>
        <v>8</v>
      </c>
      <c r="H63">
        <f>IF(ISNUMBER(Table1[[#This Row],[extra evos after transfers]]),Table1[[#This Row],[evos pre-xfers]]+1,Table1[[#This Row],[evos pre-xfers]])</f>
        <v>5</v>
      </c>
      <c r="I63" s="1">
        <f>Table1[[#This Row],[total evos]]*500</f>
        <v>2500</v>
      </c>
      <c r="J63" s="1">
        <f>Table1[[#This Row],[base xp]]*2</f>
        <v>5000</v>
      </c>
      <c r="K63" s="1">
        <f>Table1[[#This Row],[2x event xp]]*2</f>
        <v>10000</v>
      </c>
      <c r="L63" s="1">
        <f>0</f>
        <v>0</v>
      </c>
      <c r="M63" s="1"/>
    </row>
    <row r="64" spans="1:13" x14ac:dyDescent="0.25">
      <c r="A64" t="s">
        <v>74</v>
      </c>
      <c r="B64">
        <v>117</v>
      </c>
      <c r="C64">
        <v>100</v>
      </c>
      <c r="D64">
        <v>1</v>
      </c>
      <c r="E64">
        <f>ROUNDDOWN(Table1[candies]/Table1[candies/evo],0)</f>
        <v>1</v>
      </c>
      <c r="F64" s="1">
        <f>IF(Table1[[#This Row],[repeats]]&lt;Table1[[#This Row],[evos pre-xfers]],"",((Table1[[#This Row],[evos pre-xfers]]+1)*Table1[[#This Row],[candies/evo]])-Table1[[#This Row],[candies]])</f>
        <v>83</v>
      </c>
      <c r="G64" s="1" t="str">
        <f>IF(Table1[[#This Row],[transfers for extra evo]]&lt;Table1[[#This Row],[repeats]],Table1[[#This Row],[transfers for extra evo]],"")</f>
        <v/>
      </c>
      <c r="H64">
        <f>IF(ISNUMBER(Table1[[#This Row],[extra evos after transfers]]),Table1[[#This Row],[evos pre-xfers]]+1,Table1[[#This Row],[evos pre-xfers]])</f>
        <v>1</v>
      </c>
      <c r="I64" s="1">
        <f>Table1[[#This Row],[total evos]]*500</f>
        <v>500</v>
      </c>
      <c r="J64" s="1">
        <f>Table1[[#This Row],[base xp]]*2</f>
        <v>1000</v>
      </c>
      <c r="K64" s="1">
        <f>Table1[[#This Row],[2x event xp]]*2</f>
        <v>2000</v>
      </c>
      <c r="L64" s="1">
        <v>1</v>
      </c>
      <c r="M64" s="1"/>
    </row>
    <row r="65" spans="1:13" x14ac:dyDescent="0.25">
      <c r="A65" t="s">
        <v>75</v>
      </c>
      <c r="B65">
        <v>58</v>
      </c>
      <c r="C65">
        <v>50</v>
      </c>
      <c r="D65">
        <v>3</v>
      </c>
      <c r="E65">
        <f>ROUNDDOWN(Table1[candies]/Table1[candies/evo],0)</f>
        <v>1</v>
      </c>
      <c r="F65" s="1">
        <f>IF(Table1[[#This Row],[repeats]]&lt;Table1[[#This Row],[evos pre-xfers]],"",((Table1[[#This Row],[evos pre-xfers]]+1)*Table1[[#This Row],[candies/evo]])-Table1[[#This Row],[candies]])</f>
        <v>42</v>
      </c>
      <c r="G65" s="1" t="str">
        <f>IF(Table1[[#This Row],[transfers for extra evo]]&lt;Table1[[#This Row],[repeats]],Table1[[#This Row],[transfers for extra evo]],"")</f>
        <v/>
      </c>
      <c r="H65">
        <f>IF(ISNUMBER(Table1[[#This Row],[extra evos after transfers]]),Table1[[#This Row],[evos pre-xfers]]+1,Table1[[#This Row],[evos pre-xfers]])</f>
        <v>1</v>
      </c>
      <c r="I65" s="1">
        <f>Table1[[#This Row],[total evos]]*500</f>
        <v>500</v>
      </c>
      <c r="J65" s="1">
        <f>Table1[[#This Row],[base xp]]*2</f>
        <v>1000</v>
      </c>
      <c r="K65" s="1">
        <f>Table1[[#This Row],[2x event xp]]*2</f>
        <v>2000</v>
      </c>
      <c r="L65" s="1">
        <f>0</f>
        <v>0</v>
      </c>
      <c r="M65" s="1">
        <v>1</v>
      </c>
    </row>
    <row r="66" spans="1:13" x14ac:dyDescent="0.25">
      <c r="A66" t="s">
        <v>76</v>
      </c>
      <c r="B66">
        <v>66</v>
      </c>
      <c r="C66">
        <v>12</v>
      </c>
      <c r="D66">
        <v>7</v>
      </c>
      <c r="E66">
        <f>ROUNDDOWN(Table1[candies]/Table1[candies/evo],0)</f>
        <v>5</v>
      </c>
      <c r="F66" s="1">
        <f>IF(Table1[[#This Row],[repeats]]&lt;Table1[[#This Row],[evos pre-xfers]],"",((Table1[[#This Row],[evos pre-xfers]]+1)*Table1[[#This Row],[candies/evo]])-Table1[[#This Row],[candies]])</f>
        <v>6</v>
      </c>
      <c r="G66" s="1">
        <f>IF(Table1[[#This Row],[transfers for extra evo]]&lt;Table1[[#This Row],[repeats]],Table1[[#This Row],[transfers for extra evo]],"")</f>
        <v>6</v>
      </c>
      <c r="H66">
        <f>IF(ISNUMBER(Table1[[#This Row],[extra evos after transfers]]),Table1[[#This Row],[evos pre-xfers]]+1,Table1[[#This Row],[evos pre-xfers]])</f>
        <v>6</v>
      </c>
      <c r="I66" s="1">
        <f>Table1[[#This Row],[total evos]]*500</f>
        <v>3000</v>
      </c>
      <c r="J66" s="1">
        <f>Table1[[#This Row],[base xp]]*2</f>
        <v>6000</v>
      </c>
      <c r="K66" s="1">
        <f>Table1[[#This Row],[2x event xp]]*2</f>
        <v>12000</v>
      </c>
      <c r="L66" s="1">
        <f>0</f>
        <v>0</v>
      </c>
      <c r="M66" s="1">
        <v>1</v>
      </c>
    </row>
    <row r="67" spans="1:13" x14ac:dyDescent="0.25">
      <c r="A67" t="s">
        <v>77</v>
      </c>
      <c r="B67">
        <v>64</v>
      </c>
      <c r="C67">
        <v>50</v>
      </c>
      <c r="D67">
        <v>2</v>
      </c>
      <c r="E67">
        <f>ROUNDDOWN(Table1[candies]/Table1[candies/evo],0)</f>
        <v>1</v>
      </c>
      <c r="F67" s="1">
        <f>IF(Table1[[#This Row],[repeats]]&lt;Table1[[#This Row],[evos pre-xfers]],"",((Table1[[#This Row],[evos pre-xfers]]+1)*Table1[[#This Row],[candies/evo]])-Table1[[#This Row],[candies]])</f>
        <v>36</v>
      </c>
      <c r="G67" s="1" t="str">
        <f>IF(Table1[[#This Row],[transfers for extra evo]]&lt;Table1[[#This Row],[repeats]],Table1[[#This Row],[transfers for extra evo]],"")</f>
        <v/>
      </c>
      <c r="H67">
        <f>IF(ISNUMBER(Table1[[#This Row],[extra evos after transfers]]),Table1[[#This Row],[evos pre-xfers]]+1,Table1[[#This Row],[evos pre-xfers]])</f>
        <v>1</v>
      </c>
      <c r="I67" s="1">
        <f>Table1[[#This Row],[total evos]]*500</f>
        <v>500</v>
      </c>
      <c r="J67" s="1">
        <f>Table1[[#This Row],[base xp]]*2</f>
        <v>1000</v>
      </c>
      <c r="K67" s="1">
        <f>Table1[[#This Row],[2x event xp]]*2</f>
        <v>2000</v>
      </c>
      <c r="L67" s="1">
        <f>0</f>
        <v>0</v>
      </c>
      <c r="M67" s="1">
        <v>1</v>
      </c>
    </row>
    <row r="68" spans="1:13" x14ac:dyDescent="0.25">
      <c r="A68" t="s">
        <v>78</v>
      </c>
      <c r="B68">
        <v>113</v>
      </c>
      <c r="C68">
        <v>25</v>
      </c>
      <c r="D68">
        <v>3</v>
      </c>
      <c r="E68">
        <f>ROUNDDOWN(Table1[candies]/Table1[candies/evo],0)</f>
        <v>4</v>
      </c>
      <c r="F68" s="1" t="str">
        <f>IF(Table1[[#This Row],[repeats]]&lt;Table1[[#This Row],[evos pre-xfers]],"",((Table1[[#This Row],[evos pre-xfers]]+1)*Table1[[#This Row],[candies/evo]])-Table1[[#This Row],[candies]])</f>
        <v/>
      </c>
      <c r="G68" s="1" t="str">
        <f>IF(Table1[[#This Row],[transfers for extra evo]]&lt;Table1[[#This Row],[repeats]],Table1[[#This Row],[transfers for extra evo]],"")</f>
        <v/>
      </c>
      <c r="H68">
        <f>IF(ISNUMBER(Table1[[#This Row],[extra evos after transfers]]),Table1[[#This Row],[evos pre-xfers]]+1,Table1[[#This Row],[evos pre-xfers]])</f>
        <v>4</v>
      </c>
      <c r="I68" s="1">
        <f>Table1[[#This Row],[total evos]]*500</f>
        <v>2000</v>
      </c>
      <c r="J68" s="1">
        <f>Table1[[#This Row],[base xp]]*2</f>
        <v>4000</v>
      </c>
      <c r="K68" s="1">
        <f>Table1[[#This Row],[2x event xp]]*2</f>
        <v>8000</v>
      </c>
      <c r="L68" s="1">
        <f>0</f>
        <v>0</v>
      </c>
      <c r="M68" s="1">
        <v>1</v>
      </c>
    </row>
    <row r="69" spans="1:13" x14ac:dyDescent="0.25">
      <c r="A69" t="s">
        <v>79</v>
      </c>
      <c r="B69">
        <v>28</v>
      </c>
      <c r="C69">
        <v>25</v>
      </c>
      <c r="D69">
        <v>1</v>
      </c>
      <c r="E69">
        <f>ROUNDDOWN(Table1[candies]/Table1[candies/evo],0)</f>
        <v>1</v>
      </c>
      <c r="F69" s="1">
        <f>IF(Table1[[#This Row],[repeats]]&lt;Table1[[#This Row],[evos pre-xfers]],"",((Table1[[#This Row],[evos pre-xfers]]+1)*Table1[[#This Row],[candies/evo]])-Table1[[#This Row],[candies]])</f>
        <v>22</v>
      </c>
      <c r="G69" s="1" t="str">
        <f>IF(Table1[[#This Row],[transfers for extra evo]]&lt;Table1[[#This Row],[repeats]],Table1[[#This Row],[transfers for extra evo]],"")</f>
        <v/>
      </c>
      <c r="H69">
        <f>IF(ISNUMBER(Table1[[#This Row],[extra evos after transfers]]),Table1[[#This Row],[evos pre-xfers]]+1,Table1[[#This Row],[evos pre-xfers]])</f>
        <v>1</v>
      </c>
      <c r="I69" s="1">
        <f>Table1[[#This Row],[total evos]]*500</f>
        <v>500</v>
      </c>
      <c r="J69" s="1">
        <f>Table1[[#This Row],[base xp]]*2</f>
        <v>1000</v>
      </c>
      <c r="K69" s="1">
        <f>Table1[[#This Row],[2x event xp]]*2</f>
        <v>2000</v>
      </c>
      <c r="L69" s="1">
        <f>0</f>
        <v>0</v>
      </c>
      <c r="M69" s="1">
        <v>1</v>
      </c>
    </row>
    <row r="70" spans="1:13" x14ac:dyDescent="0.25">
      <c r="A70" t="s">
        <v>80</v>
      </c>
      <c r="B70">
        <v>79</v>
      </c>
      <c r="C70">
        <v>25</v>
      </c>
      <c r="D70">
        <v>9</v>
      </c>
      <c r="E70">
        <f>ROUNDDOWN(Table1[candies]/Table1[candies/evo],0)</f>
        <v>3</v>
      </c>
      <c r="F70" s="1">
        <f>IF(Table1[[#This Row],[repeats]]&lt;Table1[[#This Row],[evos pre-xfers]],"",((Table1[[#This Row],[evos pre-xfers]]+1)*Table1[[#This Row],[candies/evo]])-Table1[[#This Row],[candies]])</f>
        <v>21</v>
      </c>
      <c r="G70" s="1" t="str">
        <f>IF(Table1[[#This Row],[transfers for extra evo]]&lt;Table1[[#This Row],[repeats]],Table1[[#This Row],[transfers for extra evo]],"")</f>
        <v/>
      </c>
      <c r="H70">
        <f>IF(ISNUMBER(Table1[[#This Row],[extra evos after transfers]]),Table1[[#This Row],[evos pre-xfers]]+1,Table1[[#This Row],[evos pre-xfers]])</f>
        <v>3</v>
      </c>
      <c r="I70" s="1">
        <f>Table1[[#This Row],[total evos]]*500</f>
        <v>1500</v>
      </c>
      <c r="J70" s="1">
        <f>Table1[[#This Row],[base xp]]*2</f>
        <v>3000</v>
      </c>
      <c r="K70" s="1">
        <f>Table1[[#This Row],[2x event xp]]*2</f>
        <v>6000</v>
      </c>
      <c r="L70" s="1">
        <f>0</f>
        <v>0</v>
      </c>
      <c r="M70" s="1">
        <v>1</v>
      </c>
    </row>
    <row r="71" spans="1:13" x14ac:dyDescent="0.25">
      <c r="A71" t="s">
        <v>81</v>
      </c>
      <c r="B71">
        <v>59</v>
      </c>
      <c r="C71">
        <v>50</v>
      </c>
      <c r="D71">
        <v>2</v>
      </c>
      <c r="E71">
        <f>ROUNDDOWN(Table1[candies]/Table1[candies/evo],0)</f>
        <v>1</v>
      </c>
      <c r="F71" s="1">
        <f>IF(Table1[[#This Row],[repeats]]&lt;Table1[[#This Row],[evos pre-xfers]],"",((Table1[[#This Row],[evos pre-xfers]]+1)*Table1[[#This Row],[candies/evo]])-Table1[[#This Row],[candies]])</f>
        <v>41</v>
      </c>
      <c r="G71" s="1" t="str">
        <f>IF(Table1[[#This Row],[transfers for extra evo]]&lt;Table1[[#This Row],[repeats]],Table1[[#This Row],[transfers for extra evo]],"")</f>
        <v/>
      </c>
      <c r="H71">
        <f>IF(ISNUMBER(Table1[[#This Row],[extra evos after transfers]]),Table1[[#This Row],[evos pre-xfers]]+1,Table1[[#This Row],[evos pre-xfers]])</f>
        <v>1</v>
      </c>
      <c r="I71" s="1">
        <f>Table1[[#This Row],[total evos]]*500</f>
        <v>500</v>
      </c>
      <c r="J71" s="1">
        <f>Table1[[#This Row],[base xp]]*2</f>
        <v>1000</v>
      </c>
      <c r="K71" s="1">
        <f>Table1[[#This Row],[2x event xp]]*2</f>
        <v>2000</v>
      </c>
      <c r="L71" s="1">
        <f>0</f>
        <v>0</v>
      </c>
      <c r="M71" s="1">
        <v>1</v>
      </c>
    </row>
    <row r="72" spans="1:13" x14ac:dyDescent="0.25">
      <c r="A72" t="s">
        <v>86</v>
      </c>
      <c r="B72">
        <v>71</v>
      </c>
      <c r="C72">
        <v>50</v>
      </c>
      <c r="D72">
        <v>2</v>
      </c>
      <c r="E72">
        <f>ROUNDDOWN(Table1[candies]/Table1[candies/evo],0)</f>
        <v>1</v>
      </c>
      <c r="F72" s="1">
        <f>IF(Table1[[#This Row],[repeats]]&lt;Table1[[#This Row],[evos pre-xfers]],"",((Table1[[#This Row],[evos pre-xfers]]+1)*Table1[[#This Row],[candies/evo]])-Table1[[#This Row],[candies]])</f>
        <v>29</v>
      </c>
      <c r="G72" s="1" t="str">
        <f>IF(Table1[[#This Row],[transfers for extra evo]]&lt;Table1[[#This Row],[repeats]],Table1[[#This Row],[transfers for extra evo]],"")</f>
        <v/>
      </c>
      <c r="H72" s="1">
        <f>IF(ISNUMBER(Table1[[#This Row],[extra evos after transfers]]),Table1[[#This Row],[evos pre-xfers]]+1,Table1[[#This Row],[evos pre-xfers]])</f>
        <v>1</v>
      </c>
      <c r="I72" s="1">
        <f>Table1[[#This Row],[total evos]]*500</f>
        <v>500</v>
      </c>
      <c r="J72" s="1">
        <f>Table1[[#This Row],[base xp]]*2</f>
        <v>1000</v>
      </c>
      <c r="K72" s="1">
        <f>Table1[[#This Row],[2x event xp]]*2</f>
        <v>2000</v>
      </c>
      <c r="L72" s="1">
        <f>0</f>
        <v>0</v>
      </c>
      <c r="M72" s="1">
        <v>1</v>
      </c>
    </row>
    <row r="73" spans="1:13" x14ac:dyDescent="0.25">
      <c r="A73" t="s">
        <v>87</v>
      </c>
      <c r="B73">
        <v>55</v>
      </c>
      <c r="C73">
        <v>50</v>
      </c>
      <c r="D73">
        <v>2</v>
      </c>
      <c r="E73">
        <f>ROUNDDOWN(Table1[candies]/Table1[candies/evo],0)</f>
        <v>1</v>
      </c>
      <c r="F73" s="1">
        <f>IF(Table1[[#This Row],[repeats]]&lt;Table1[[#This Row],[evos pre-xfers]],"",((Table1[[#This Row],[evos pre-xfers]]+1)*Table1[[#This Row],[candies/evo]])-Table1[[#This Row],[candies]])</f>
        <v>45</v>
      </c>
      <c r="G73" s="1" t="str">
        <f>IF(Table1[[#This Row],[transfers for extra evo]]&lt;Table1[[#This Row],[repeats]],Table1[[#This Row],[transfers for extra evo]],"")</f>
        <v/>
      </c>
      <c r="H73" s="1">
        <f>IF(ISNUMBER(Table1[[#This Row],[extra evos after transfers]]),Table1[[#This Row],[evos pre-xfers]]+1,Table1[[#This Row],[evos pre-xfers]])</f>
        <v>1</v>
      </c>
      <c r="I73" s="1">
        <f>Table1[[#This Row],[total evos]]*500</f>
        <v>500</v>
      </c>
      <c r="J73" s="1">
        <f>Table1[[#This Row],[base xp]]*2</f>
        <v>1000</v>
      </c>
      <c r="K73" s="1">
        <f>Table1[[#This Row],[2x event xp]]*2</f>
        <v>2000</v>
      </c>
      <c r="L73" s="1">
        <f>0</f>
        <v>0</v>
      </c>
      <c r="M73" s="1">
        <v>1</v>
      </c>
    </row>
  </sheetData>
  <pageMargins left="0.7" right="0.7" top="0.75" bottom="0.75" header="0.3" footer="0.3"/>
  <cellWatches>
    <cellWatch r="R3"/>
    <cellWatch r="R4"/>
    <cellWatch r="R5"/>
  </cellWatch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2"/>
  <sheetViews>
    <sheetView zoomScaleNormal="100" workbookViewId="0">
      <pane ySplit="2" topLeftCell="A17" activePane="bottomLeft" state="frozen"/>
      <selection pane="bottomLeft" activeCell="L36" sqref="H36:M36"/>
    </sheetView>
  </sheetViews>
  <sheetFormatPr defaultRowHeight="15" x14ac:dyDescent="0.25"/>
  <cols>
    <col min="3" max="3" width="10.7109375" customWidth="1"/>
    <col min="13" max="13" width="15.42578125" bestFit="1" customWidth="1"/>
  </cols>
  <sheetData>
    <row r="1" spans="1:13" x14ac:dyDescent="0.25">
      <c r="A1" t="s">
        <v>627</v>
      </c>
      <c r="K1" s="4" t="s">
        <v>626</v>
      </c>
      <c r="L1">
        <v>0.5</v>
      </c>
    </row>
    <row r="2" spans="1:13" x14ac:dyDescent="0.25">
      <c r="A2" t="s">
        <v>9</v>
      </c>
      <c r="B2" t="s">
        <v>650</v>
      </c>
      <c r="C2" t="s">
        <v>651</v>
      </c>
      <c r="H2" t="s">
        <v>623</v>
      </c>
      <c r="I2" t="s">
        <v>625</v>
      </c>
      <c r="J2" t="s">
        <v>624</v>
      </c>
      <c r="K2" t="s">
        <v>628</v>
      </c>
      <c r="L2" t="s">
        <v>629</v>
      </c>
      <c r="M2" t="s">
        <v>648</v>
      </c>
    </row>
    <row r="3" spans="1:13" x14ac:dyDescent="0.25">
      <c r="A3">
        <v>10</v>
      </c>
      <c r="B3" t="s">
        <v>90</v>
      </c>
      <c r="C3">
        <v>1</v>
      </c>
      <c r="H3" t="s">
        <v>631</v>
      </c>
      <c r="I3">
        <v>3</v>
      </c>
      <c r="J3">
        <f>INDEX(Table2[km/Candy],MATCH(Table24[Name],Table2[Pokémon],0))</f>
        <v>3</v>
      </c>
      <c r="K3">
        <f>IF(ISBLANK(Table24[[#This Row],[candies needed]]),"",Table24[[#This Row],[Distance / candy]]*Table24[[#This Row],[candies needed]])</f>
        <v>9</v>
      </c>
      <c r="L3" s="1">
        <f>IF(ISNUMBER(Table24[[#This Row],[km regular]]),IF(ISBLANK(specialEventFactor),"",Table24[km regular]*specialEventFactor),"")</f>
        <v>4.5</v>
      </c>
      <c r="M3">
        <f>IF(ISNUMBER(Table24[[#This Row],[candies needed]]),0.5*IF(ISNUMBER(Table24[[#This Row],[km special]]),Table24[[#This Row],[km special]],Table24[[#This Row],[km regular]]),"")</f>
        <v>2.25</v>
      </c>
    </row>
    <row r="4" spans="1:13" x14ac:dyDescent="0.25">
      <c r="A4">
        <v>11</v>
      </c>
      <c r="B4" t="s">
        <v>91</v>
      </c>
      <c r="C4">
        <v>1</v>
      </c>
      <c r="H4" t="s">
        <v>70</v>
      </c>
      <c r="I4">
        <v>3</v>
      </c>
      <c r="J4">
        <f>INDEX(Table2[km/Candy],MATCH(Table24[Name],Table2[Pokémon],0))</f>
        <v>3</v>
      </c>
      <c r="K4">
        <f>IF(ISBLANK(Table24[[#This Row],[candies needed]]),"",Table24[[#This Row],[Distance / candy]]*Table24[[#This Row],[candies needed]])</f>
        <v>9</v>
      </c>
      <c r="L4" s="1">
        <f>IF(ISNUMBER(Table24[[#This Row],[km regular]]),IF(ISBLANK(specialEventFactor),"",Table24[km regular]*specialEventFactor),"")</f>
        <v>4.5</v>
      </c>
      <c r="M4">
        <f>IF(ISNUMBER(Table24[[#This Row],[candies needed]]),0.5*IF(ISNUMBER(Table24[[#This Row],[km special]]),Table24[[#This Row],[km special]],Table24[[#This Row],[km regular]]),"")</f>
        <v>2.25</v>
      </c>
    </row>
    <row r="5" spans="1:13" x14ac:dyDescent="0.25">
      <c r="A5">
        <v>12</v>
      </c>
      <c r="B5" t="s">
        <v>92</v>
      </c>
      <c r="C5">
        <v>1</v>
      </c>
      <c r="H5" t="s">
        <v>633</v>
      </c>
      <c r="I5">
        <v>14</v>
      </c>
      <c r="J5">
        <f>INDEX(Table2[km/Candy],MATCH(Table24[Name],Table2[Pokémon],0))</f>
        <v>1</v>
      </c>
      <c r="K5">
        <f>IF(ISBLANK(Table24[[#This Row],[candies needed]]),"",Table24[[#This Row],[Distance / candy]]*Table24[[#This Row],[candies needed]])</f>
        <v>14</v>
      </c>
      <c r="L5" s="1">
        <f>IF(ISNUMBER(Table24[[#This Row],[km regular]]),IF(ISBLANK(specialEventFactor),"",Table24[km regular]*specialEventFactor),"")</f>
        <v>7</v>
      </c>
      <c r="M5">
        <f>IF(ISNUMBER(Table24[[#This Row],[candies needed]]),0.5*IF(ISNUMBER(Table24[[#This Row],[km special]]),Table24[[#This Row],[km special]],Table24[[#This Row],[km regular]]),"")</f>
        <v>3.5</v>
      </c>
    </row>
    <row r="6" spans="1:13" x14ac:dyDescent="0.25">
      <c r="A6">
        <v>13</v>
      </c>
      <c r="B6" t="s">
        <v>93</v>
      </c>
      <c r="C6">
        <v>1</v>
      </c>
      <c r="H6" t="s">
        <v>636</v>
      </c>
      <c r="I6">
        <v>5</v>
      </c>
      <c r="J6">
        <f>INDEX(Table2[km/Candy],MATCH(Table24[Name],Table2[Pokémon],0))</f>
        <v>3</v>
      </c>
      <c r="K6">
        <f>IF(ISBLANK(Table24[[#This Row],[candies needed]]),"",Table24[[#This Row],[Distance / candy]]*Table24[[#This Row],[candies needed]])</f>
        <v>15</v>
      </c>
      <c r="L6" s="1">
        <f>IF(ISNUMBER(Table24[[#This Row],[km regular]]),IF(ISBLANK(specialEventFactor),"",Table24[km regular]*specialEventFactor),"")</f>
        <v>7.5</v>
      </c>
      <c r="M6">
        <f>IF(ISNUMBER(Table24[[#This Row],[candies needed]]),0.5*IF(ISNUMBER(Table24[[#This Row],[km special]]),Table24[[#This Row],[km special]],Table24[[#This Row],[km regular]]),"")</f>
        <v>3.75</v>
      </c>
    </row>
    <row r="7" spans="1:13" x14ac:dyDescent="0.25">
      <c r="A7">
        <v>14</v>
      </c>
      <c r="B7" t="s">
        <v>94</v>
      </c>
      <c r="C7">
        <v>1</v>
      </c>
      <c r="H7" t="s">
        <v>54</v>
      </c>
      <c r="I7">
        <v>3</v>
      </c>
      <c r="J7">
        <f>INDEX(Table2[km/Candy],MATCH(Table24[Name],Table2[Pokémon],0))</f>
        <v>5</v>
      </c>
      <c r="K7">
        <f>IF(ISBLANK(Table24[[#This Row],[candies needed]]),"",Table24[[#This Row],[Distance / candy]]*Table24[[#This Row],[candies needed]])</f>
        <v>15</v>
      </c>
      <c r="L7" s="1">
        <f>IF(ISNUMBER(Table24[[#This Row],[km regular]]),IF(ISBLANK(specialEventFactor),"",Table24[km regular]*specialEventFactor),"")</f>
        <v>7.5</v>
      </c>
      <c r="M7">
        <f>IF(ISNUMBER(Table24[[#This Row],[candies needed]]),0.5*IF(ISNUMBER(Table24[[#This Row],[km special]]),Table24[[#This Row],[km special]],Table24[[#This Row],[km regular]]),"")</f>
        <v>3.75</v>
      </c>
    </row>
    <row r="8" spans="1:13" x14ac:dyDescent="0.25">
      <c r="A8">
        <v>15</v>
      </c>
      <c r="B8" t="s">
        <v>95</v>
      </c>
      <c r="C8">
        <v>1</v>
      </c>
      <c r="H8" t="s">
        <v>678</v>
      </c>
      <c r="I8">
        <v>6</v>
      </c>
      <c r="J8">
        <f>INDEX(Table2[km/Candy],MATCH(Table24[Name],Table2[Pokémon],0))</f>
        <v>3</v>
      </c>
      <c r="K8">
        <f>IF(ISBLANK(Table24[[#This Row],[candies needed]]),"",Table24[[#This Row],[Distance / candy]]*Table24[[#This Row],[candies needed]])</f>
        <v>18</v>
      </c>
      <c r="L8" s="1">
        <f>IF(ISNUMBER(Table24[[#This Row],[km regular]]),IF(ISBLANK(specialEventFactor),"",Table24[km regular]*specialEventFactor),"")</f>
        <v>9</v>
      </c>
      <c r="M8" s="1">
        <f>IF(ISNUMBER(Table24[[#This Row],[candies needed]]),0.5*IF(ISNUMBER(Table24[[#This Row],[km special]]),Table24[[#This Row],[km special]],Table24[[#This Row],[km regular]]),"")</f>
        <v>4.5</v>
      </c>
    </row>
    <row r="9" spans="1:13" x14ac:dyDescent="0.25">
      <c r="A9">
        <v>16</v>
      </c>
      <c r="B9" t="s">
        <v>96</v>
      </c>
      <c r="C9">
        <v>1</v>
      </c>
      <c r="H9" t="s">
        <v>635</v>
      </c>
      <c r="I9">
        <v>6</v>
      </c>
      <c r="J9">
        <f>INDEX(Table2[km/Candy],MATCH(Table24[Name],Table2[Pokémon],0))</f>
        <v>3</v>
      </c>
      <c r="K9">
        <f>IF(ISBLANK(Table24[[#This Row],[candies needed]]),"",Table24[[#This Row],[Distance / candy]]*Table24[[#This Row],[candies needed]])</f>
        <v>18</v>
      </c>
      <c r="L9" s="1">
        <f>IF(ISNUMBER(Table24[[#This Row],[km regular]]),IF(ISBLANK(specialEventFactor),"",Table24[km regular]*specialEventFactor),"")</f>
        <v>9</v>
      </c>
      <c r="M9">
        <f>IF(ISNUMBER(Table24[[#This Row],[candies needed]]),0.5*IF(ISNUMBER(Table24[[#This Row],[km special]]),Table24[[#This Row],[km special]],Table24[[#This Row],[km regular]]),"")</f>
        <v>4.5</v>
      </c>
    </row>
    <row r="10" spans="1:13" x14ac:dyDescent="0.25">
      <c r="A10">
        <v>17</v>
      </c>
      <c r="B10" t="s">
        <v>97</v>
      </c>
      <c r="C10">
        <v>1</v>
      </c>
      <c r="H10" t="s">
        <v>47</v>
      </c>
      <c r="I10">
        <v>4</v>
      </c>
      <c r="J10">
        <f>INDEX(Table2[km/Candy],MATCH(Table24[Name],Table2[Pokémon],0))</f>
        <v>5</v>
      </c>
      <c r="K10">
        <f>IF(ISBLANK(Table24[[#This Row],[candies needed]]),"",Table24[[#This Row],[Distance / candy]]*Table24[[#This Row],[candies needed]])</f>
        <v>20</v>
      </c>
      <c r="L10" s="1">
        <f>IF(ISNUMBER(Table24[[#This Row],[km regular]]),IF(ISBLANK(specialEventFactor),"",Table24[km regular]*specialEventFactor),"")</f>
        <v>10</v>
      </c>
      <c r="M10">
        <f>IF(ISNUMBER(Table24[[#This Row],[candies needed]]),0.5*IF(ISNUMBER(Table24[[#This Row],[km special]]),Table24[[#This Row],[km special]],Table24[[#This Row],[km regular]]),"")</f>
        <v>5</v>
      </c>
    </row>
    <row r="11" spans="1:13" x14ac:dyDescent="0.25">
      <c r="A11">
        <v>18</v>
      </c>
      <c r="B11" t="s">
        <v>98</v>
      </c>
      <c r="C11">
        <v>1</v>
      </c>
      <c r="H11" t="s">
        <v>630</v>
      </c>
      <c r="I11">
        <v>7</v>
      </c>
      <c r="J11">
        <f>INDEX(Table2[km/Candy],MATCH(Table24[Name],Table2[Pokémon],0))</f>
        <v>3</v>
      </c>
      <c r="K11">
        <f>IF(ISBLANK(Table24[[#This Row],[candies needed]]),"",Table24[[#This Row],[Distance / candy]]*Table24[[#This Row],[candies needed]])</f>
        <v>21</v>
      </c>
      <c r="L11" s="1">
        <f>IF(ISNUMBER(Table24[[#This Row],[km regular]]),IF(ISBLANK(specialEventFactor),"",Table24[km regular]*specialEventFactor),"")</f>
        <v>10.5</v>
      </c>
      <c r="M11">
        <f>IF(ISNUMBER(Table24[[#This Row],[candies needed]]),0.5*IF(ISNUMBER(Table24[[#This Row],[km special]]),Table24[[#This Row],[km special]],Table24[[#This Row],[km regular]]),"")</f>
        <v>5.25</v>
      </c>
    </row>
    <row r="12" spans="1:13" x14ac:dyDescent="0.25">
      <c r="A12">
        <v>19</v>
      </c>
      <c r="B12" t="s">
        <v>99</v>
      </c>
      <c r="C12">
        <v>1</v>
      </c>
      <c r="H12" t="s">
        <v>634</v>
      </c>
      <c r="I12">
        <v>7</v>
      </c>
      <c r="J12">
        <f>INDEX(Table2[km/Candy],MATCH(Table24[Name],Table2[Pokémon],0))</f>
        <v>3</v>
      </c>
      <c r="K12">
        <f>IF(ISBLANK(Table24[[#This Row],[candies needed]]),"",Table24[[#This Row],[Distance / candy]]*Table24[[#This Row],[candies needed]])</f>
        <v>21</v>
      </c>
      <c r="L12" s="1">
        <f>IF(ISNUMBER(Table24[[#This Row],[km regular]]),IF(ISBLANK(specialEventFactor),"",Table24[km regular]*specialEventFactor),"")</f>
        <v>10.5</v>
      </c>
      <c r="M12">
        <f>IF(ISNUMBER(Table24[[#This Row],[candies needed]]),0.5*IF(ISNUMBER(Table24[[#This Row],[km special]]),Table24[[#This Row],[km special]],Table24[[#This Row],[km regular]]),"")</f>
        <v>5.25</v>
      </c>
    </row>
    <row r="13" spans="1:13" x14ac:dyDescent="0.25">
      <c r="A13">
        <v>20</v>
      </c>
      <c r="B13" t="s">
        <v>100</v>
      </c>
      <c r="C13">
        <v>1</v>
      </c>
      <c r="H13" t="s">
        <v>24</v>
      </c>
      <c r="I13">
        <v>7</v>
      </c>
      <c r="J13">
        <f>INDEX(Table2[km/Candy],MATCH(Table24[Name],Table2[Pokémon],0))</f>
        <v>3</v>
      </c>
      <c r="K13">
        <f>IF(ISBLANK(Table24[[#This Row],[candies needed]]),"",Table24[[#This Row],[Distance / candy]]*Table24[[#This Row],[candies needed]])</f>
        <v>21</v>
      </c>
      <c r="L13" s="1">
        <f>IF(ISNUMBER(Table24[[#This Row],[km regular]]),IF(ISBLANK(specialEventFactor),"",Table24[km regular]*specialEventFactor),"")</f>
        <v>10.5</v>
      </c>
      <c r="M13" s="1">
        <f>IF(ISNUMBER(Table24[[#This Row],[candies needed]]),0.5*IF(ISNUMBER(Table24[[#This Row],[km special]]),Table24[[#This Row],[km special]],Table24[[#This Row],[km regular]]),"")</f>
        <v>5.25</v>
      </c>
    </row>
    <row r="14" spans="1:13" x14ac:dyDescent="0.25">
      <c r="A14">
        <v>21</v>
      </c>
      <c r="B14" t="s">
        <v>101</v>
      </c>
      <c r="C14">
        <v>1</v>
      </c>
      <c r="H14" t="s">
        <v>37</v>
      </c>
      <c r="I14">
        <v>8</v>
      </c>
      <c r="J14">
        <f>INDEX(Table2[km/Candy],MATCH(Table24[Name],Table2[Pokémon],0))</f>
        <v>3</v>
      </c>
      <c r="K14">
        <f>IF(ISBLANK(Table24[[#This Row],[candies needed]]),"",Table24[[#This Row],[Distance / candy]]*Table24[[#This Row],[candies needed]])</f>
        <v>24</v>
      </c>
      <c r="L14" s="1">
        <f>IF(ISNUMBER(Table24[[#This Row],[km regular]]),IF(ISBLANK(specialEventFactor),"",Table24[km regular]*specialEventFactor),"")</f>
        <v>12</v>
      </c>
      <c r="M14">
        <f>IF(ISNUMBER(Table24[[#This Row],[candies needed]]),0.5*IF(ISNUMBER(Table24[[#This Row],[km special]]),Table24[[#This Row],[km special]],Table24[[#This Row],[km regular]]),"")</f>
        <v>6</v>
      </c>
    </row>
    <row r="15" spans="1:13" x14ac:dyDescent="0.25">
      <c r="A15">
        <v>22</v>
      </c>
      <c r="B15" t="s">
        <v>102</v>
      </c>
      <c r="C15">
        <v>1</v>
      </c>
      <c r="H15" t="s">
        <v>638</v>
      </c>
      <c r="I15">
        <v>8</v>
      </c>
      <c r="J15">
        <f>INDEX(Table2[km/Candy],MATCH(Table24[Name],Table2[Pokémon],0))</f>
        <v>3</v>
      </c>
      <c r="K15">
        <f>IF(ISBLANK(Table24[[#This Row],[candies needed]]),"",Table24[[#This Row],[Distance / candy]]*Table24[[#This Row],[candies needed]])</f>
        <v>24</v>
      </c>
      <c r="L15" s="1">
        <f>IF(ISNUMBER(Table24[[#This Row],[km regular]]),IF(ISBLANK(specialEventFactor),"",Table24[km regular]*specialEventFactor),"")</f>
        <v>12</v>
      </c>
      <c r="M15">
        <f>IF(ISNUMBER(Table24[[#This Row],[candies needed]]),0.5*IF(ISNUMBER(Table24[[#This Row],[km special]]),Table24[[#This Row],[km special]],Table24[[#This Row],[km regular]]),"")</f>
        <v>6</v>
      </c>
    </row>
    <row r="16" spans="1:13" x14ac:dyDescent="0.25">
      <c r="A16">
        <v>25</v>
      </c>
      <c r="B16" t="s">
        <v>103</v>
      </c>
      <c r="C16">
        <v>1</v>
      </c>
      <c r="H16" t="s">
        <v>64</v>
      </c>
      <c r="I16">
        <v>8</v>
      </c>
      <c r="J16">
        <f>INDEX(Table2[km/Candy],MATCH(Table24[Name],Table2[Pokémon],0))</f>
        <v>3</v>
      </c>
      <c r="K16">
        <f>IF(ISBLANK(Table24[[#This Row],[candies needed]]),"",Table24[[#This Row],[Distance / candy]]*Table24[[#This Row],[candies needed]])</f>
        <v>24</v>
      </c>
      <c r="L16" s="1">
        <f>IF(ISNUMBER(Table24[[#This Row],[km regular]]),IF(ISBLANK(specialEventFactor),"",Table24[km regular]*specialEventFactor),"")</f>
        <v>12</v>
      </c>
      <c r="M16">
        <f>IF(ISNUMBER(Table24[[#This Row],[candies needed]]),0.5*IF(ISNUMBER(Table24[[#This Row],[km special]]),Table24[[#This Row],[km special]],Table24[[#This Row],[km regular]]),"")</f>
        <v>6</v>
      </c>
    </row>
    <row r="17" spans="1:13" x14ac:dyDescent="0.25">
      <c r="A17">
        <v>26</v>
      </c>
      <c r="B17" t="s">
        <v>104</v>
      </c>
      <c r="C17">
        <v>1</v>
      </c>
      <c r="H17" t="s">
        <v>646</v>
      </c>
      <c r="I17">
        <v>5</v>
      </c>
      <c r="J17">
        <f>INDEX(Table2[km/Candy],MATCH(Table24[Name],Table2[Pokémon],0))</f>
        <v>5</v>
      </c>
      <c r="K17">
        <f>IF(ISBLANK(Table24[[#This Row],[candies needed]]),"",Table24[[#This Row],[Distance / candy]]*Table24[[#This Row],[candies needed]])</f>
        <v>25</v>
      </c>
      <c r="L17" s="1">
        <f>IF(ISNUMBER(Table24[[#This Row],[km regular]]),IF(ISBLANK(specialEventFactor),"",Table24[km regular]*specialEventFactor),"")</f>
        <v>12.5</v>
      </c>
      <c r="M17">
        <f>IF(ISNUMBER(Table24[[#This Row],[candies needed]]),0.5*IF(ISNUMBER(Table24[[#This Row],[km special]]),Table24[[#This Row],[km special]],Table24[[#This Row],[km regular]]),"")</f>
        <v>6.25</v>
      </c>
    </row>
    <row r="18" spans="1:13" x14ac:dyDescent="0.25">
      <c r="A18">
        <v>35</v>
      </c>
      <c r="B18" t="s">
        <v>105</v>
      </c>
      <c r="C18">
        <v>1</v>
      </c>
      <c r="H18" t="s">
        <v>770</v>
      </c>
      <c r="I18">
        <v>27</v>
      </c>
      <c r="J18">
        <f>INDEX(Table2[km/Candy],MATCH(Table24[Name],Table2[Pokémon],0))</f>
        <v>1</v>
      </c>
      <c r="K18">
        <f>IF(ISBLANK(Table24[[#This Row],[candies needed]]),"",Table24[[#This Row],[Distance / candy]]*Table24[[#This Row],[candies needed]])</f>
        <v>27</v>
      </c>
      <c r="L18" s="1">
        <f>IF(ISNUMBER(Table24[[#This Row],[km regular]]),IF(ISBLANK(specialEventFactor),"",Table24[km regular]*specialEventFactor),"")</f>
        <v>13.5</v>
      </c>
      <c r="M18" s="1">
        <f>IF(ISNUMBER(Table24[[#This Row],[candies needed]]),0.5*IF(ISNUMBER(Table24[[#This Row],[km special]]),Table24[[#This Row],[km special]],Table24[[#This Row],[km regular]]),"")</f>
        <v>6.75</v>
      </c>
    </row>
    <row r="19" spans="1:13" x14ac:dyDescent="0.25">
      <c r="A19">
        <v>36</v>
      </c>
      <c r="B19" t="s">
        <v>106</v>
      </c>
      <c r="C19">
        <v>1</v>
      </c>
      <c r="H19" t="s">
        <v>637</v>
      </c>
      <c r="I19">
        <v>9</v>
      </c>
      <c r="J19">
        <f>INDEX(Table2[km/Candy],MATCH(Table24[Name],Table2[Pokémon],0))</f>
        <v>3</v>
      </c>
      <c r="K19">
        <f>IF(ISBLANK(Table24[[#This Row],[candies needed]]),"",Table24[[#This Row],[Distance / candy]]*Table24[[#This Row],[candies needed]])</f>
        <v>27</v>
      </c>
      <c r="L19" s="1">
        <f>IF(ISNUMBER(Table24[[#This Row],[km regular]]),IF(ISBLANK(specialEventFactor),"",Table24[km regular]*specialEventFactor),"")</f>
        <v>13.5</v>
      </c>
      <c r="M19">
        <f>IF(ISNUMBER(Table24[[#This Row],[candies needed]]),0.5*IF(ISNUMBER(Table24[[#This Row],[km special]]),Table24[[#This Row],[km special]],Table24[[#This Row],[km regular]]),"")</f>
        <v>6.75</v>
      </c>
    </row>
    <row r="20" spans="1:13" x14ac:dyDescent="0.25">
      <c r="A20">
        <v>39</v>
      </c>
      <c r="B20" t="s">
        <v>107</v>
      </c>
      <c r="C20">
        <v>1</v>
      </c>
      <c r="H20" t="s">
        <v>632</v>
      </c>
      <c r="I20">
        <v>10</v>
      </c>
      <c r="J20">
        <f>INDEX(Table2[km/Candy],MATCH(Table24[Name],Table2[Pokémon],0))</f>
        <v>3</v>
      </c>
      <c r="K20">
        <f>IF(ISBLANK(Table24[[#This Row],[candies needed]]),"",Table24[[#This Row],[Distance / candy]]*Table24[[#This Row],[candies needed]])</f>
        <v>30</v>
      </c>
      <c r="L20" s="1">
        <f>IF(ISNUMBER(Table24[[#This Row],[km regular]]),IF(ISBLANK(specialEventFactor),"",Table24[km regular]*specialEventFactor),"")</f>
        <v>15</v>
      </c>
      <c r="M20">
        <f>IF(ISNUMBER(Table24[[#This Row],[candies needed]]),0.5*IF(ISNUMBER(Table24[[#This Row],[km special]]),Table24[[#This Row],[km special]],Table24[[#This Row],[km regular]]),"")</f>
        <v>7.5</v>
      </c>
    </row>
    <row r="21" spans="1:13" x14ac:dyDescent="0.25">
      <c r="A21">
        <v>40</v>
      </c>
      <c r="B21" t="s">
        <v>108</v>
      </c>
      <c r="C21">
        <v>1</v>
      </c>
      <c r="H21" t="s">
        <v>639</v>
      </c>
      <c r="I21">
        <v>11</v>
      </c>
      <c r="J21">
        <f>INDEX(Table2[km/Candy],MATCH(Table24[Name],Table2[Pokémon],0))</f>
        <v>3</v>
      </c>
      <c r="K21">
        <f>IF(ISBLANK(Table24[[#This Row],[candies needed]]),"",Table24[[#This Row],[Distance / candy]]*Table24[[#This Row],[candies needed]])</f>
        <v>33</v>
      </c>
      <c r="L21" s="1">
        <f>IF(ISNUMBER(Table24[[#This Row],[km regular]]),IF(ISBLANK(specialEventFactor),"",Table24[km regular]*specialEventFactor),"")</f>
        <v>16.5</v>
      </c>
      <c r="M21">
        <f>IF(ISNUMBER(Table24[[#This Row],[candies needed]]),0.5*IF(ISNUMBER(Table24[[#This Row],[km special]]),Table24[[#This Row],[km special]],Table24[[#This Row],[km regular]]),"")</f>
        <v>8.25</v>
      </c>
    </row>
    <row r="22" spans="1:13" x14ac:dyDescent="0.25">
      <c r="A22">
        <v>41</v>
      </c>
      <c r="B22" t="s">
        <v>109</v>
      </c>
      <c r="C22">
        <v>1</v>
      </c>
      <c r="H22" t="s">
        <v>71</v>
      </c>
      <c r="I22">
        <v>12</v>
      </c>
      <c r="J22">
        <f>INDEX(Table2[km/Candy],MATCH(Table24[Name],Table2[Pokémon],0))</f>
        <v>3</v>
      </c>
      <c r="K22">
        <f>IF(ISBLANK(Table24[[#This Row],[candies needed]]),"",Table24[[#This Row],[Distance / candy]]*Table24[[#This Row],[candies needed]])</f>
        <v>36</v>
      </c>
      <c r="L22" s="1">
        <f>IF(ISNUMBER(Table24[[#This Row],[km regular]]),IF(ISBLANK(specialEventFactor),"",Table24[km regular]*specialEventFactor),"")</f>
        <v>18</v>
      </c>
      <c r="M22">
        <f>IF(ISNUMBER(Table24[[#This Row],[candies needed]]),0.5*IF(ISNUMBER(Table24[[#This Row],[km special]]),Table24[[#This Row],[km special]],Table24[[#This Row],[km regular]]),"")</f>
        <v>9</v>
      </c>
    </row>
    <row r="23" spans="1:13" x14ac:dyDescent="0.25">
      <c r="A23">
        <v>42</v>
      </c>
      <c r="B23" t="s">
        <v>110</v>
      </c>
      <c r="C23">
        <v>1</v>
      </c>
      <c r="H23" t="s">
        <v>642</v>
      </c>
      <c r="I23">
        <v>13</v>
      </c>
      <c r="J23">
        <f>INDEX(Table2[km/Candy],MATCH(Table24[Name],Table2[Pokémon],0))</f>
        <v>3</v>
      </c>
      <c r="K23">
        <f>IF(ISBLANK(Table24[[#This Row],[candies needed]]),"",Table24[[#This Row],[Distance / candy]]*Table24[[#This Row],[candies needed]])</f>
        <v>39</v>
      </c>
      <c r="L23" s="1">
        <f>IF(ISNUMBER(Table24[[#This Row],[km regular]]),IF(ISBLANK(specialEventFactor),"",Table24[km regular]*specialEventFactor),"")</f>
        <v>19.5</v>
      </c>
      <c r="M23">
        <f>IF(ISNUMBER(Table24[[#This Row],[candies needed]]),0.5*IF(ISNUMBER(Table24[[#This Row],[km special]]),Table24[[#This Row],[km special]],Table24[[#This Row],[km regular]]),"")</f>
        <v>9.75</v>
      </c>
    </row>
    <row r="24" spans="1:13" x14ac:dyDescent="0.25">
      <c r="A24">
        <v>74</v>
      </c>
      <c r="B24" t="s">
        <v>111</v>
      </c>
      <c r="C24">
        <v>1</v>
      </c>
      <c r="H24" t="s">
        <v>80</v>
      </c>
      <c r="I24">
        <v>13</v>
      </c>
      <c r="J24">
        <f>INDEX(Table2[km/Candy],MATCH(Table24[Name],Table2[Pokémon],0))</f>
        <v>3</v>
      </c>
      <c r="K24">
        <f>IF(ISBLANK(Table24[[#This Row],[candies needed]]),"",Table24[[#This Row],[Distance / candy]]*Table24[[#This Row],[candies needed]])</f>
        <v>39</v>
      </c>
      <c r="L24" s="1">
        <f>IF(ISNUMBER(Table24[[#This Row],[km regular]]),IF(ISBLANK(specialEventFactor),"",Table24[km regular]*specialEventFactor),"")</f>
        <v>19.5</v>
      </c>
      <c r="M24">
        <f>IF(ISNUMBER(Table24[[#This Row],[candies needed]]),0.5*IF(ISNUMBER(Table24[[#This Row],[km special]]),Table24[[#This Row],[km special]],Table24[[#This Row],[km regular]]),"")</f>
        <v>9.75</v>
      </c>
    </row>
    <row r="25" spans="1:13" x14ac:dyDescent="0.25">
      <c r="A25">
        <v>75</v>
      </c>
      <c r="B25" t="s">
        <v>112</v>
      </c>
      <c r="C25">
        <v>1</v>
      </c>
      <c r="H25" t="s">
        <v>34</v>
      </c>
      <c r="I25">
        <v>8</v>
      </c>
      <c r="J25">
        <f>INDEX(Table2[km/Candy],MATCH(Table24[Name],Table2[Pokémon],0))</f>
        <v>5</v>
      </c>
      <c r="K25">
        <f>IF(ISBLANK(Table24[[#This Row],[candies needed]]),"",Table24[[#This Row],[Distance / candy]]*Table24[[#This Row],[candies needed]])</f>
        <v>40</v>
      </c>
      <c r="L25" s="1">
        <f>IF(ISNUMBER(Table24[[#This Row],[km regular]]),IF(ISBLANK(specialEventFactor),"",Table24[km regular]*specialEventFactor),"")</f>
        <v>20</v>
      </c>
      <c r="M25" s="1">
        <f>IF(ISNUMBER(Table24[[#This Row],[candies needed]]),0.5*IF(ISNUMBER(Table24[[#This Row],[km special]]),Table24[[#This Row],[km special]],Table24[[#This Row],[km regular]]),"")</f>
        <v>10</v>
      </c>
    </row>
    <row r="26" spans="1:13" x14ac:dyDescent="0.25">
      <c r="A26">
        <v>76</v>
      </c>
      <c r="B26" t="s">
        <v>113</v>
      </c>
      <c r="C26">
        <v>1</v>
      </c>
      <c r="H26" t="s">
        <v>643</v>
      </c>
      <c r="I26">
        <v>14</v>
      </c>
      <c r="J26">
        <f>INDEX(Table2[km/Candy],MATCH(Table24[Name],Table2[Pokémon],0))</f>
        <v>3</v>
      </c>
      <c r="K26">
        <f>IF(ISBLANK(Table24[[#This Row],[candies needed]]),"",Table24[[#This Row],[Distance / candy]]*Table24[[#This Row],[candies needed]])</f>
        <v>42</v>
      </c>
      <c r="L26" s="1">
        <f>IF(ISNUMBER(Table24[[#This Row],[km regular]]),IF(ISBLANK(specialEventFactor),"",Table24[km regular]*specialEventFactor),"")</f>
        <v>21</v>
      </c>
      <c r="M26">
        <f>IF(ISNUMBER(Table24[[#This Row],[candies needed]]),0.5*IF(ISNUMBER(Table24[[#This Row],[km special]]),Table24[[#This Row],[km special]],Table24[[#This Row],[km regular]]),"")</f>
        <v>10.5</v>
      </c>
    </row>
    <row r="27" spans="1:13" x14ac:dyDescent="0.25">
      <c r="A27">
        <v>129</v>
      </c>
      <c r="B27" t="s">
        <v>114</v>
      </c>
      <c r="C27">
        <v>1</v>
      </c>
      <c r="H27" t="s">
        <v>644</v>
      </c>
      <c r="I27">
        <v>14</v>
      </c>
      <c r="J27">
        <f>INDEX(Table2[km/Candy],MATCH(Table24[Name],Table2[Pokémon],0))</f>
        <v>3</v>
      </c>
      <c r="K27">
        <f>IF(ISBLANK(Table24[[#This Row],[candies needed]]),"",Table24[[#This Row],[Distance / candy]]*Table24[[#This Row],[candies needed]])</f>
        <v>42</v>
      </c>
      <c r="L27" s="1">
        <f>IF(ISNUMBER(Table24[[#This Row],[km regular]]),IF(ISBLANK(specialEventFactor),"",Table24[km regular]*specialEventFactor),"")</f>
        <v>21</v>
      </c>
      <c r="M27">
        <f>IF(ISNUMBER(Table24[[#This Row],[candies needed]]),0.5*IF(ISNUMBER(Table24[[#This Row],[km special]]),Table24[[#This Row],[km special]],Table24[[#This Row],[km regular]]),"")</f>
        <v>10.5</v>
      </c>
    </row>
    <row r="28" spans="1:13" x14ac:dyDescent="0.25">
      <c r="A28">
        <v>130</v>
      </c>
      <c r="B28" t="s">
        <v>115</v>
      </c>
      <c r="C28">
        <v>1</v>
      </c>
      <c r="H28" t="s">
        <v>640</v>
      </c>
      <c r="I28">
        <v>15</v>
      </c>
      <c r="J28">
        <f>INDEX(Table2[km/Candy],MATCH(Table24[Name],Table2[Pokémon],0))</f>
        <v>3</v>
      </c>
      <c r="K28">
        <f>IF(ISBLANK(Table24[[#This Row],[candies needed]]),"",Table24[[#This Row],[Distance / candy]]*Table24[[#This Row],[candies needed]])</f>
        <v>45</v>
      </c>
      <c r="L28" s="1">
        <f>IF(ISNUMBER(Table24[[#This Row],[km regular]]),IF(ISBLANK(specialEventFactor),"",Table24[km regular]*specialEventFactor),"")</f>
        <v>22.5</v>
      </c>
      <c r="M28">
        <f>IF(ISNUMBER(Table24[[#This Row],[candies needed]]),0.5*IF(ISNUMBER(Table24[[#This Row],[km special]]),Table24[[#This Row],[km special]],Table24[[#This Row],[km regular]]),"")</f>
        <v>11.25</v>
      </c>
    </row>
    <row r="29" spans="1:13" x14ac:dyDescent="0.25">
      <c r="A29">
        <v>161</v>
      </c>
      <c r="B29" t="s">
        <v>119</v>
      </c>
      <c r="C29">
        <v>1</v>
      </c>
      <c r="H29" t="s">
        <v>645</v>
      </c>
      <c r="I29">
        <v>18</v>
      </c>
      <c r="J29">
        <f>INDEX(Table2[km/Candy],MATCH(Table24[Name],Table2[Pokémon],0))</f>
        <v>3</v>
      </c>
      <c r="K29">
        <f>IF(ISBLANK(Table24[[#This Row],[candies needed]]),"",Table24[[#This Row],[Distance / candy]]*Table24[[#This Row],[candies needed]])</f>
        <v>54</v>
      </c>
      <c r="L29" s="1">
        <f>IF(ISNUMBER(Table24[[#This Row],[km regular]]),IF(ISBLANK(specialEventFactor),"",Table24[km regular]*specialEventFactor),"")</f>
        <v>27</v>
      </c>
      <c r="M29">
        <f>IF(ISNUMBER(Table24[[#This Row],[candies needed]]),0.5*IF(ISNUMBER(Table24[[#This Row],[km special]]),Table24[[#This Row],[km special]],Table24[[#This Row],[km regular]]),"")</f>
        <v>13.5</v>
      </c>
    </row>
    <row r="30" spans="1:13" x14ac:dyDescent="0.25">
      <c r="A30">
        <v>162</v>
      </c>
      <c r="B30" t="s">
        <v>120</v>
      </c>
      <c r="C30">
        <v>1</v>
      </c>
      <c r="H30" t="s">
        <v>641</v>
      </c>
      <c r="I30">
        <v>13</v>
      </c>
      <c r="J30">
        <f>INDEX(Table2[km/Candy],MATCH(Table24[Name],Table2[Pokémon],0))</f>
        <v>5</v>
      </c>
      <c r="K30">
        <f>IF(ISBLANK(Table24[[#This Row],[candies needed]]),"",Table24[[#This Row],[Distance / candy]]*Table24[[#This Row],[candies needed]])</f>
        <v>65</v>
      </c>
      <c r="L30" s="1">
        <f>IF(ISNUMBER(Table24[[#This Row],[km regular]]),IF(ISBLANK(specialEventFactor),"",Table24[km regular]*specialEventFactor),"")</f>
        <v>32.5</v>
      </c>
      <c r="M30">
        <f>IF(ISNUMBER(Table24[[#This Row],[candies needed]]),0.5*IF(ISNUMBER(Table24[[#This Row],[km special]]),Table24[[#This Row],[km special]],Table24[[#This Row],[km regular]]),"")</f>
        <v>16.25</v>
      </c>
    </row>
    <row r="31" spans="1:13" x14ac:dyDescent="0.25">
      <c r="A31">
        <v>163</v>
      </c>
      <c r="B31" t="s">
        <v>121</v>
      </c>
      <c r="C31">
        <v>1</v>
      </c>
      <c r="H31" t="s">
        <v>649</v>
      </c>
      <c r="I31">
        <v>17</v>
      </c>
      <c r="J31">
        <f>INDEX(Table2[km/Candy],MATCH(Table24[Name],Table2[Pokémon],0))</f>
        <v>5</v>
      </c>
      <c r="K31">
        <f>IF(ISBLANK(Table24[[#This Row],[candies needed]]),"",Table24[[#This Row],[Distance / candy]]*Table24[[#This Row],[candies needed]])</f>
        <v>85</v>
      </c>
      <c r="L31" s="1">
        <f>IF(ISNUMBER(Table24[[#This Row],[km regular]]),IF(ISBLANK(specialEventFactor),"",Table24[km regular]*specialEventFactor),"")</f>
        <v>42.5</v>
      </c>
      <c r="M31" s="1">
        <f>IF(ISNUMBER(Table24[[#This Row],[candies needed]]),0.5*IF(ISNUMBER(Table24[[#This Row],[km special]]),Table24[[#This Row],[km special]],Table24[[#This Row],[km regular]]),"")</f>
        <v>21.25</v>
      </c>
    </row>
    <row r="32" spans="1:13" x14ac:dyDescent="0.25">
      <c r="A32">
        <v>164</v>
      </c>
      <c r="B32" t="s">
        <v>122</v>
      </c>
      <c r="C32">
        <v>1</v>
      </c>
      <c r="H32" t="s">
        <v>769</v>
      </c>
      <c r="I32">
        <v>94</v>
      </c>
      <c r="J32">
        <f>INDEX(Table2[km/Candy],MATCH(Table24[Name],Table2[Pokémon],0))</f>
        <v>1</v>
      </c>
      <c r="K32">
        <f>IF(ISBLANK(Table24[[#This Row],[candies needed]]),"",Table24[[#This Row],[Distance / candy]]*Table24[[#This Row],[candies needed]])</f>
        <v>94</v>
      </c>
      <c r="L32" s="1">
        <f>IF(ISNUMBER(Table24[[#This Row],[km regular]]),IF(ISBLANK(specialEventFactor),"",Table24[km regular]*specialEventFactor),"")</f>
        <v>47</v>
      </c>
      <c r="M32" s="1">
        <f>IF(ISNUMBER(Table24[[#This Row],[candies needed]]),0.5*IF(ISNUMBER(Table24[[#This Row],[km special]]),Table24[[#This Row],[km special]],Table24[[#This Row],[km regular]]),"")</f>
        <v>23.5</v>
      </c>
    </row>
    <row r="33" spans="1:13" x14ac:dyDescent="0.25">
      <c r="A33">
        <v>165</v>
      </c>
      <c r="B33" t="s">
        <v>123</v>
      </c>
      <c r="C33">
        <v>1</v>
      </c>
      <c r="H33" t="s">
        <v>5</v>
      </c>
      <c r="I33">
        <v>99</v>
      </c>
      <c r="J33">
        <f>INDEX(Table2[km/Candy],MATCH(Table24[Name],Table2[Pokémon],0))</f>
        <v>3</v>
      </c>
      <c r="K33">
        <f>IF(ISBLANK(Table24[[#This Row],[candies needed]]),"",Table24[[#This Row],[Distance / candy]]*Table24[[#This Row],[candies needed]])</f>
        <v>297</v>
      </c>
      <c r="L33" s="1">
        <f>IF(ISNUMBER(Table24[[#This Row],[km regular]]),IF(ISBLANK(specialEventFactor),"",Table24[km regular]*specialEventFactor),"")</f>
        <v>148.5</v>
      </c>
      <c r="M33" s="1">
        <f>IF(ISNUMBER(Table24[[#This Row],[candies needed]]),0.5*IF(ISNUMBER(Table24[[#This Row],[km special]]),Table24[[#This Row],[km special]],Table24[[#This Row],[km regular]]),"")</f>
        <v>74.25</v>
      </c>
    </row>
    <row r="34" spans="1:13" x14ac:dyDescent="0.25">
      <c r="A34">
        <v>166</v>
      </c>
      <c r="B34" t="s">
        <v>124</v>
      </c>
      <c r="C34">
        <v>1</v>
      </c>
      <c r="H34" t="s">
        <v>7</v>
      </c>
      <c r="I34">
        <v>78</v>
      </c>
      <c r="J34">
        <f>INDEX(Table2[km/Candy],MATCH(Table24[Name],Table2[Pokémon],0))</f>
        <v>3</v>
      </c>
      <c r="K34">
        <f>IF(ISBLANK(Table24[[#This Row],[candies needed]]),"",Table24[[#This Row],[Distance / candy]]*Table24[[#This Row],[candies needed]])</f>
        <v>234</v>
      </c>
      <c r="L34" s="1">
        <f>IF(ISNUMBER(Table24[[#This Row],[km regular]]),IF(ISBLANK(specialEventFactor),"",Table24[km regular]*specialEventFactor),"")</f>
        <v>117</v>
      </c>
      <c r="M34" s="1">
        <f>IF(ISNUMBER(Table24[[#This Row],[candies needed]]),0.5*IF(ISNUMBER(Table24[[#This Row],[km special]]),Table24[[#This Row],[km special]],Table24[[#This Row],[km regular]]),"")</f>
        <v>58.5</v>
      </c>
    </row>
    <row r="35" spans="1:13" x14ac:dyDescent="0.25">
      <c r="A35">
        <v>167</v>
      </c>
      <c r="B35" t="s">
        <v>125</v>
      </c>
      <c r="C35">
        <v>1</v>
      </c>
      <c r="H35" t="s">
        <v>771</v>
      </c>
      <c r="I35">
        <v>9</v>
      </c>
      <c r="J35">
        <f>INDEX(Table2[km/Candy],MATCH(Table24[Name],Table2[Pokémon],0))</f>
        <v>3</v>
      </c>
      <c r="K35">
        <f>IF(ISBLANK(Table24[[#This Row],[candies needed]]),"",Table24[[#This Row],[Distance / candy]]*Table24[[#This Row],[candies needed]])</f>
        <v>27</v>
      </c>
      <c r="L35" s="1">
        <f>IF(ISNUMBER(Table24[[#This Row],[km regular]]),IF(ISBLANK(specialEventFactor),"",Table24[km regular]*specialEventFactor),"")</f>
        <v>13.5</v>
      </c>
      <c r="M35" s="1">
        <f>IF(ISNUMBER(Table24[[#This Row],[candies needed]]),0.5*IF(ISNUMBER(Table24[[#This Row],[km special]]),Table24[[#This Row],[km special]],Table24[[#This Row],[km regular]]),"")</f>
        <v>6.75</v>
      </c>
    </row>
    <row r="36" spans="1:13" x14ac:dyDescent="0.25">
      <c r="A36">
        <v>168</v>
      </c>
      <c r="B36" t="s">
        <v>126</v>
      </c>
      <c r="C36">
        <v>1</v>
      </c>
      <c r="H36" t="s">
        <v>790</v>
      </c>
      <c r="I36">
        <v>36</v>
      </c>
      <c r="J36">
        <f>INDEX(Table2[km/Candy],MATCH(Table24[Name],Table2[Pokémon],0))</f>
        <v>3</v>
      </c>
      <c r="K36">
        <f>IF(ISBLANK(Table24[[#This Row],[candies needed]]),"",Table24[[#This Row],[Distance / candy]]*Table24[[#This Row],[candies needed]])</f>
        <v>108</v>
      </c>
      <c r="L36" s="1">
        <f>IF(ISNUMBER(Table24[[#This Row],[km regular]]),IF(ISBLANK(specialEventFactor),"",Table24[km regular]*specialEventFactor),"")</f>
        <v>54</v>
      </c>
      <c r="M36" s="1">
        <f>IF(ISNUMBER(Table24[[#This Row],[candies needed]]),0.5*IF(ISNUMBER(Table24[[#This Row],[km special]]),Table24[[#This Row],[km special]],Table24[[#This Row],[km regular]]),"")</f>
        <v>27</v>
      </c>
    </row>
    <row r="37" spans="1:13" x14ac:dyDescent="0.25">
      <c r="A37">
        <v>169</v>
      </c>
      <c r="B37" t="s">
        <v>127</v>
      </c>
      <c r="C37">
        <v>1</v>
      </c>
    </row>
    <row r="38" spans="1:13" x14ac:dyDescent="0.25">
      <c r="A38">
        <v>172</v>
      </c>
      <c r="B38" t="s">
        <v>116</v>
      </c>
      <c r="C38">
        <v>1</v>
      </c>
    </row>
    <row r="39" spans="1:13" x14ac:dyDescent="0.25">
      <c r="A39">
        <v>173</v>
      </c>
      <c r="B39" t="s">
        <v>117</v>
      </c>
      <c r="C39">
        <v>1</v>
      </c>
    </row>
    <row r="40" spans="1:13" x14ac:dyDescent="0.25">
      <c r="A40">
        <v>174</v>
      </c>
      <c r="B40" t="s">
        <v>118</v>
      </c>
      <c r="C40">
        <v>1</v>
      </c>
    </row>
    <row r="41" spans="1:13" x14ac:dyDescent="0.25">
      <c r="A41">
        <v>218</v>
      </c>
      <c r="B41" t="s">
        <v>128</v>
      </c>
      <c r="C41">
        <v>1</v>
      </c>
    </row>
    <row r="42" spans="1:13" x14ac:dyDescent="0.25">
      <c r="A42">
        <v>219</v>
      </c>
      <c r="B42" t="s">
        <v>129</v>
      </c>
      <c r="C42">
        <v>1</v>
      </c>
    </row>
    <row r="43" spans="1:13" x14ac:dyDescent="0.25">
      <c r="A43">
        <v>223</v>
      </c>
      <c r="B43" t="s">
        <v>130</v>
      </c>
      <c r="C43">
        <v>1</v>
      </c>
    </row>
    <row r="44" spans="1:13" x14ac:dyDescent="0.25">
      <c r="A44">
        <v>224</v>
      </c>
      <c r="B44" t="s">
        <v>131</v>
      </c>
      <c r="C44">
        <v>1</v>
      </c>
    </row>
    <row r="45" spans="1:13" x14ac:dyDescent="0.25">
      <c r="A45">
        <v>261</v>
      </c>
      <c r="B45" t="s">
        <v>132</v>
      </c>
      <c r="C45">
        <v>1</v>
      </c>
    </row>
    <row r="46" spans="1:13" x14ac:dyDescent="0.25">
      <c r="A46">
        <v>262</v>
      </c>
      <c r="B46" t="s">
        <v>133</v>
      </c>
      <c r="C46">
        <v>1</v>
      </c>
    </row>
    <row r="47" spans="1:13" x14ac:dyDescent="0.25">
      <c r="A47">
        <v>263</v>
      </c>
      <c r="B47" t="s">
        <v>134</v>
      </c>
      <c r="C47">
        <v>1</v>
      </c>
    </row>
    <row r="48" spans="1:13" x14ac:dyDescent="0.25">
      <c r="A48">
        <v>264</v>
      </c>
      <c r="B48" t="s">
        <v>135</v>
      </c>
      <c r="C48">
        <v>1</v>
      </c>
    </row>
    <row r="49" spans="1:3" x14ac:dyDescent="0.25">
      <c r="A49">
        <v>265</v>
      </c>
      <c r="B49" t="s">
        <v>136</v>
      </c>
      <c r="C49">
        <v>1</v>
      </c>
    </row>
    <row r="50" spans="1:3" x14ac:dyDescent="0.25">
      <c r="A50">
        <v>266</v>
      </c>
      <c r="B50" t="s">
        <v>137</v>
      </c>
      <c r="C50">
        <v>1</v>
      </c>
    </row>
    <row r="51" spans="1:3" x14ac:dyDescent="0.25">
      <c r="A51">
        <v>267</v>
      </c>
      <c r="B51" t="s">
        <v>138</v>
      </c>
      <c r="C51">
        <v>1</v>
      </c>
    </row>
    <row r="52" spans="1:3" x14ac:dyDescent="0.25">
      <c r="A52">
        <v>268</v>
      </c>
      <c r="B52" t="s">
        <v>139</v>
      </c>
      <c r="C52">
        <v>1</v>
      </c>
    </row>
    <row r="53" spans="1:3" x14ac:dyDescent="0.25">
      <c r="A53">
        <v>269</v>
      </c>
      <c r="B53" t="s">
        <v>140</v>
      </c>
      <c r="C53">
        <v>1</v>
      </c>
    </row>
    <row r="54" spans="1:3" x14ac:dyDescent="0.25">
      <c r="A54">
        <v>276</v>
      </c>
      <c r="B54" t="s">
        <v>141</v>
      </c>
      <c r="C54">
        <v>1</v>
      </c>
    </row>
    <row r="55" spans="1:3" x14ac:dyDescent="0.25">
      <c r="A55">
        <v>277</v>
      </c>
      <c r="B55" t="s">
        <v>142</v>
      </c>
      <c r="C55">
        <v>1</v>
      </c>
    </row>
    <row r="56" spans="1:3" x14ac:dyDescent="0.25">
      <c r="A56">
        <v>283</v>
      </c>
      <c r="B56" t="s">
        <v>143</v>
      </c>
      <c r="C56">
        <v>1</v>
      </c>
    </row>
    <row r="57" spans="1:3" x14ac:dyDescent="0.25">
      <c r="A57">
        <v>284</v>
      </c>
      <c r="B57" t="s">
        <v>144</v>
      </c>
      <c r="C57">
        <v>1</v>
      </c>
    </row>
    <row r="58" spans="1:3" x14ac:dyDescent="0.25">
      <c r="A58">
        <v>293</v>
      </c>
      <c r="B58" t="s">
        <v>145</v>
      </c>
      <c r="C58">
        <v>1</v>
      </c>
    </row>
    <row r="59" spans="1:3" x14ac:dyDescent="0.25">
      <c r="A59">
        <v>294</v>
      </c>
      <c r="B59" t="s">
        <v>146</v>
      </c>
      <c r="C59">
        <v>1</v>
      </c>
    </row>
    <row r="60" spans="1:3" x14ac:dyDescent="0.25">
      <c r="A60">
        <v>295</v>
      </c>
      <c r="B60" t="s">
        <v>147</v>
      </c>
      <c r="C60">
        <v>1</v>
      </c>
    </row>
    <row r="61" spans="1:3" x14ac:dyDescent="0.25">
      <c r="A61">
        <v>304</v>
      </c>
      <c r="B61" t="s">
        <v>148</v>
      </c>
      <c r="C61">
        <v>1</v>
      </c>
    </row>
    <row r="62" spans="1:3" x14ac:dyDescent="0.25">
      <c r="A62">
        <v>305</v>
      </c>
      <c r="B62" t="s">
        <v>149</v>
      </c>
      <c r="C62">
        <v>1</v>
      </c>
    </row>
    <row r="63" spans="1:3" x14ac:dyDescent="0.25">
      <c r="A63">
        <v>306</v>
      </c>
      <c r="B63" t="s">
        <v>150</v>
      </c>
      <c r="C63">
        <v>1</v>
      </c>
    </row>
    <row r="64" spans="1:3" x14ac:dyDescent="0.25">
      <c r="A64">
        <v>316</v>
      </c>
      <c r="B64" t="s">
        <v>151</v>
      </c>
      <c r="C64">
        <v>1</v>
      </c>
    </row>
    <row r="65" spans="1:3" x14ac:dyDescent="0.25">
      <c r="A65">
        <v>317</v>
      </c>
      <c r="B65" t="s">
        <v>152</v>
      </c>
      <c r="C65">
        <v>1</v>
      </c>
    </row>
    <row r="66" spans="1:3" x14ac:dyDescent="0.25">
      <c r="A66">
        <v>320</v>
      </c>
      <c r="B66" t="s">
        <v>153</v>
      </c>
      <c r="C66">
        <v>1</v>
      </c>
    </row>
    <row r="67" spans="1:3" x14ac:dyDescent="0.25">
      <c r="A67">
        <v>321</v>
      </c>
      <c r="B67" t="s">
        <v>154</v>
      </c>
      <c r="C67">
        <v>1</v>
      </c>
    </row>
    <row r="68" spans="1:3" x14ac:dyDescent="0.25">
      <c r="A68">
        <v>325</v>
      </c>
      <c r="B68" t="s">
        <v>155</v>
      </c>
      <c r="C68">
        <v>1</v>
      </c>
    </row>
    <row r="69" spans="1:3" x14ac:dyDescent="0.25">
      <c r="A69">
        <v>326</v>
      </c>
      <c r="B69" t="s">
        <v>156</v>
      </c>
      <c r="C69">
        <v>1</v>
      </c>
    </row>
    <row r="70" spans="1:3" x14ac:dyDescent="0.25">
      <c r="A70">
        <v>333</v>
      </c>
      <c r="B70" t="s">
        <v>157</v>
      </c>
      <c r="C70">
        <v>1</v>
      </c>
    </row>
    <row r="71" spans="1:3" x14ac:dyDescent="0.25">
      <c r="A71">
        <v>334</v>
      </c>
      <c r="B71" t="s">
        <v>158</v>
      </c>
      <c r="C71">
        <v>1</v>
      </c>
    </row>
    <row r="72" spans="1:3" x14ac:dyDescent="0.25">
      <c r="A72">
        <v>339</v>
      </c>
      <c r="B72" t="s">
        <v>159</v>
      </c>
      <c r="C72">
        <v>1</v>
      </c>
    </row>
    <row r="73" spans="1:3" x14ac:dyDescent="0.25">
      <c r="A73">
        <v>340</v>
      </c>
      <c r="B73" t="s">
        <v>160</v>
      </c>
      <c r="C73">
        <v>1</v>
      </c>
    </row>
    <row r="74" spans="1:3" x14ac:dyDescent="0.25">
      <c r="A74">
        <v>396</v>
      </c>
      <c r="B74" t="s">
        <v>161</v>
      </c>
      <c r="C74">
        <v>1</v>
      </c>
    </row>
    <row r="75" spans="1:3" x14ac:dyDescent="0.25">
      <c r="A75">
        <v>397</v>
      </c>
      <c r="B75" t="s">
        <v>162</v>
      </c>
      <c r="C75">
        <v>1</v>
      </c>
    </row>
    <row r="76" spans="1:3" x14ac:dyDescent="0.25">
      <c r="A76">
        <v>398</v>
      </c>
      <c r="B76" t="s">
        <v>163</v>
      </c>
      <c r="C76">
        <v>1</v>
      </c>
    </row>
    <row r="77" spans="1:3" x14ac:dyDescent="0.25">
      <c r="A77">
        <v>399</v>
      </c>
      <c r="B77" t="s">
        <v>164</v>
      </c>
      <c r="C77">
        <v>1</v>
      </c>
    </row>
    <row r="78" spans="1:3" x14ac:dyDescent="0.25">
      <c r="A78">
        <v>400</v>
      </c>
      <c r="B78" t="s">
        <v>165</v>
      </c>
      <c r="C78">
        <v>1</v>
      </c>
    </row>
    <row r="79" spans="1:3" x14ac:dyDescent="0.25">
      <c r="A79">
        <v>401</v>
      </c>
      <c r="B79" t="s">
        <v>679</v>
      </c>
      <c r="C79">
        <v>1</v>
      </c>
    </row>
    <row r="80" spans="1:3" x14ac:dyDescent="0.25">
      <c r="A80">
        <v>402</v>
      </c>
      <c r="B80" t="s">
        <v>166</v>
      </c>
      <c r="C80">
        <v>1</v>
      </c>
    </row>
    <row r="81" spans="1:3" x14ac:dyDescent="0.25">
      <c r="A81">
        <v>412</v>
      </c>
      <c r="B81" t="s">
        <v>680</v>
      </c>
      <c r="C81">
        <v>1</v>
      </c>
    </row>
    <row r="82" spans="1:3" x14ac:dyDescent="0.25">
      <c r="A82">
        <v>413</v>
      </c>
      <c r="B82" t="s">
        <v>681</v>
      </c>
      <c r="C82">
        <v>1</v>
      </c>
    </row>
    <row r="83" spans="1:3" x14ac:dyDescent="0.25">
      <c r="A83">
        <v>414</v>
      </c>
      <c r="B83" t="s">
        <v>167</v>
      </c>
      <c r="C83">
        <v>1</v>
      </c>
    </row>
    <row r="84" spans="1:3" x14ac:dyDescent="0.25">
      <c r="A84">
        <v>469</v>
      </c>
      <c r="B84" t="s">
        <v>432</v>
      </c>
      <c r="C84">
        <v>1</v>
      </c>
    </row>
    <row r="85" spans="1:3" x14ac:dyDescent="0.25">
      <c r="A85">
        <v>504</v>
      </c>
      <c r="B85" t="s">
        <v>169</v>
      </c>
      <c r="C85">
        <v>1</v>
      </c>
    </row>
    <row r="86" spans="1:3" x14ac:dyDescent="0.25">
      <c r="A86">
        <v>505</v>
      </c>
      <c r="B86" t="s">
        <v>170</v>
      </c>
      <c r="C86">
        <v>1</v>
      </c>
    </row>
    <row r="87" spans="1:3" x14ac:dyDescent="0.25">
      <c r="A87">
        <v>506</v>
      </c>
      <c r="B87" t="s">
        <v>171</v>
      </c>
      <c r="C87">
        <v>1</v>
      </c>
    </row>
    <row r="88" spans="1:3" x14ac:dyDescent="0.25">
      <c r="A88">
        <v>507</v>
      </c>
      <c r="B88" t="s">
        <v>172</v>
      </c>
      <c r="C88">
        <v>1</v>
      </c>
    </row>
    <row r="89" spans="1:3" x14ac:dyDescent="0.25">
      <c r="A89">
        <v>508</v>
      </c>
      <c r="B89" t="s">
        <v>173</v>
      </c>
      <c r="C89">
        <v>1</v>
      </c>
    </row>
    <row r="90" spans="1:3" x14ac:dyDescent="0.25">
      <c r="A90">
        <v>509</v>
      </c>
      <c r="B90" t="s">
        <v>174</v>
      </c>
      <c r="C90">
        <v>1</v>
      </c>
    </row>
    <row r="91" spans="1:3" x14ac:dyDescent="0.25">
      <c r="A91">
        <v>510</v>
      </c>
      <c r="B91" t="s">
        <v>175</v>
      </c>
      <c r="C91">
        <v>1</v>
      </c>
    </row>
    <row r="92" spans="1:3" x14ac:dyDescent="0.25">
      <c r="A92">
        <v>519</v>
      </c>
      <c r="B92" t="s">
        <v>176</v>
      </c>
      <c r="C92">
        <v>1</v>
      </c>
    </row>
    <row r="93" spans="1:3" x14ac:dyDescent="0.25">
      <c r="A93">
        <v>520</v>
      </c>
      <c r="B93" t="s">
        <v>682</v>
      </c>
      <c r="C93">
        <v>1</v>
      </c>
    </row>
    <row r="94" spans="1:3" x14ac:dyDescent="0.25">
      <c r="A94">
        <v>521</v>
      </c>
      <c r="B94" t="s">
        <v>177</v>
      </c>
      <c r="C94">
        <v>1</v>
      </c>
    </row>
    <row r="95" spans="1:3" x14ac:dyDescent="0.25">
      <c r="A95">
        <v>527</v>
      </c>
      <c r="B95" t="s">
        <v>178</v>
      </c>
      <c r="C95">
        <v>1</v>
      </c>
    </row>
    <row r="96" spans="1:3" x14ac:dyDescent="0.25">
      <c r="A96">
        <v>528</v>
      </c>
      <c r="B96" t="s">
        <v>683</v>
      </c>
      <c r="C96">
        <v>1</v>
      </c>
    </row>
    <row r="97" spans="1:3" x14ac:dyDescent="0.25">
      <c r="A97">
        <v>540</v>
      </c>
      <c r="B97" t="s">
        <v>684</v>
      </c>
      <c r="C97">
        <v>1</v>
      </c>
    </row>
    <row r="98" spans="1:3" x14ac:dyDescent="0.25">
      <c r="A98">
        <v>541</v>
      </c>
      <c r="B98" t="s">
        <v>685</v>
      </c>
      <c r="C98">
        <v>1</v>
      </c>
    </row>
    <row r="99" spans="1:3" x14ac:dyDescent="0.25">
      <c r="A99">
        <v>542</v>
      </c>
      <c r="B99" t="s">
        <v>686</v>
      </c>
      <c r="C99">
        <v>1</v>
      </c>
    </row>
    <row r="100" spans="1:3" x14ac:dyDescent="0.25">
      <c r="A100">
        <v>543</v>
      </c>
      <c r="B100" t="s">
        <v>179</v>
      </c>
      <c r="C100">
        <v>1</v>
      </c>
    </row>
    <row r="101" spans="1:3" x14ac:dyDescent="0.25">
      <c r="A101">
        <v>544</v>
      </c>
      <c r="B101" t="s">
        <v>180</v>
      </c>
      <c r="C101">
        <v>1</v>
      </c>
    </row>
    <row r="102" spans="1:3" x14ac:dyDescent="0.25">
      <c r="A102">
        <v>545</v>
      </c>
      <c r="B102" t="s">
        <v>181</v>
      </c>
      <c r="C102">
        <v>1</v>
      </c>
    </row>
    <row r="103" spans="1:3" x14ac:dyDescent="0.25">
      <c r="A103">
        <v>546</v>
      </c>
      <c r="B103" t="s">
        <v>687</v>
      </c>
      <c r="C103">
        <v>1</v>
      </c>
    </row>
    <row r="104" spans="1:3" x14ac:dyDescent="0.25">
      <c r="A104">
        <v>547</v>
      </c>
      <c r="B104" t="s">
        <v>688</v>
      </c>
      <c r="C104">
        <v>1</v>
      </c>
    </row>
    <row r="105" spans="1:3" x14ac:dyDescent="0.25">
      <c r="A105">
        <v>548</v>
      </c>
      <c r="B105" t="s">
        <v>689</v>
      </c>
      <c r="C105">
        <v>1</v>
      </c>
    </row>
    <row r="106" spans="1:3" x14ac:dyDescent="0.25">
      <c r="A106">
        <v>549</v>
      </c>
      <c r="B106" t="s">
        <v>690</v>
      </c>
      <c r="C106">
        <v>1</v>
      </c>
    </row>
    <row r="107" spans="1:3" x14ac:dyDescent="0.25">
      <c r="A107">
        <v>550</v>
      </c>
      <c r="B107" t="s">
        <v>691</v>
      </c>
      <c r="C107">
        <v>1</v>
      </c>
    </row>
    <row r="108" spans="1:3" x14ac:dyDescent="0.25">
      <c r="A108">
        <v>556</v>
      </c>
      <c r="B108" t="s">
        <v>182</v>
      </c>
      <c r="C108">
        <v>1</v>
      </c>
    </row>
    <row r="109" spans="1:3" x14ac:dyDescent="0.25">
      <c r="A109">
        <v>557</v>
      </c>
      <c r="B109" t="s">
        <v>183</v>
      </c>
      <c r="C109">
        <v>1</v>
      </c>
    </row>
    <row r="110" spans="1:3" x14ac:dyDescent="0.25">
      <c r="A110">
        <v>558</v>
      </c>
      <c r="B110" t="s">
        <v>692</v>
      </c>
      <c r="C110">
        <v>1</v>
      </c>
    </row>
    <row r="111" spans="1:3" x14ac:dyDescent="0.25">
      <c r="A111">
        <v>587</v>
      </c>
      <c r="B111" t="s">
        <v>693</v>
      </c>
      <c r="C111">
        <v>1</v>
      </c>
    </row>
    <row r="112" spans="1:3" x14ac:dyDescent="0.25">
      <c r="A112">
        <v>602</v>
      </c>
      <c r="B112" t="s">
        <v>694</v>
      </c>
      <c r="C112">
        <v>1</v>
      </c>
    </row>
    <row r="113" spans="1:3" x14ac:dyDescent="0.25">
      <c r="A113">
        <v>603</v>
      </c>
      <c r="B113" t="s">
        <v>695</v>
      </c>
      <c r="C113">
        <v>1</v>
      </c>
    </row>
    <row r="114" spans="1:3" x14ac:dyDescent="0.25">
      <c r="A114">
        <v>604</v>
      </c>
      <c r="B114" t="s">
        <v>696</v>
      </c>
      <c r="C114">
        <v>1</v>
      </c>
    </row>
    <row r="115" spans="1:3" x14ac:dyDescent="0.25">
      <c r="A115">
        <v>1</v>
      </c>
      <c r="B115" t="s">
        <v>184</v>
      </c>
      <c r="C115">
        <v>3</v>
      </c>
    </row>
    <row r="116" spans="1:3" x14ac:dyDescent="0.25">
      <c r="A116">
        <v>2</v>
      </c>
      <c r="B116" t="s">
        <v>185</v>
      </c>
      <c r="C116">
        <v>3</v>
      </c>
    </row>
    <row r="117" spans="1:3" x14ac:dyDescent="0.25">
      <c r="A117">
        <v>3</v>
      </c>
      <c r="B117" t="s">
        <v>186</v>
      </c>
      <c r="C117">
        <v>3</v>
      </c>
    </row>
    <row r="118" spans="1:3" x14ac:dyDescent="0.25">
      <c r="A118">
        <v>4</v>
      </c>
      <c r="B118" t="s">
        <v>187</v>
      </c>
      <c r="C118">
        <v>3</v>
      </c>
    </row>
    <row r="119" spans="1:3" x14ac:dyDescent="0.25">
      <c r="A119">
        <v>5</v>
      </c>
      <c r="B119" t="s">
        <v>188</v>
      </c>
      <c r="C119">
        <v>3</v>
      </c>
    </row>
    <row r="120" spans="1:3" x14ac:dyDescent="0.25">
      <c r="A120">
        <v>6</v>
      </c>
      <c r="B120" t="s">
        <v>189</v>
      </c>
      <c r="C120">
        <v>3</v>
      </c>
    </row>
    <row r="121" spans="1:3" x14ac:dyDescent="0.25">
      <c r="A121">
        <v>7</v>
      </c>
      <c r="B121" t="s">
        <v>190</v>
      </c>
      <c r="C121">
        <v>3</v>
      </c>
    </row>
    <row r="122" spans="1:3" x14ac:dyDescent="0.25">
      <c r="A122">
        <v>8</v>
      </c>
      <c r="B122" t="s">
        <v>191</v>
      </c>
      <c r="C122">
        <v>3</v>
      </c>
    </row>
    <row r="123" spans="1:3" x14ac:dyDescent="0.25">
      <c r="A123">
        <v>9</v>
      </c>
      <c r="B123" t="s">
        <v>192</v>
      </c>
      <c r="C123">
        <v>3</v>
      </c>
    </row>
    <row r="124" spans="1:3" x14ac:dyDescent="0.25">
      <c r="A124">
        <v>23</v>
      </c>
      <c r="B124" t="s">
        <v>193</v>
      </c>
      <c r="C124">
        <v>3</v>
      </c>
    </row>
    <row r="125" spans="1:3" x14ac:dyDescent="0.25">
      <c r="A125">
        <v>24</v>
      </c>
      <c r="B125" t="s">
        <v>194</v>
      </c>
      <c r="C125">
        <v>3</v>
      </c>
    </row>
    <row r="126" spans="1:3" x14ac:dyDescent="0.25">
      <c r="A126">
        <v>27</v>
      </c>
      <c r="B126" t="s">
        <v>195</v>
      </c>
      <c r="C126">
        <v>3</v>
      </c>
    </row>
    <row r="127" spans="1:3" x14ac:dyDescent="0.25">
      <c r="A127">
        <v>28</v>
      </c>
      <c r="B127" t="s">
        <v>196</v>
      </c>
      <c r="C127">
        <v>3</v>
      </c>
    </row>
    <row r="128" spans="1:3" x14ac:dyDescent="0.25">
      <c r="A128">
        <v>29</v>
      </c>
      <c r="B128" t="s">
        <v>197</v>
      </c>
      <c r="C128">
        <v>3</v>
      </c>
    </row>
    <row r="129" spans="1:3" x14ac:dyDescent="0.25">
      <c r="A129">
        <v>30</v>
      </c>
      <c r="B129" t="s">
        <v>198</v>
      </c>
      <c r="C129">
        <v>3</v>
      </c>
    </row>
    <row r="130" spans="1:3" x14ac:dyDescent="0.25">
      <c r="A130">
        <v>31</v>
      </c>
      <c r="B130" t="s">
        <v>199</v>
      </c>
      <c r="C130">
        <v>3</v>
      </c>
    </row>
    <row r="131" spans="1:3" x14ac:dyDescent="0.25">
      <c r="A131">
        <v>32</v>
      </c>
      <c r="B131" t="s">
        <v>200</v>
      </c>
      <c r="C131">
        <v>3</v>
      </c>
    </row>
    <row r="132" spans="1:3" x14ac:dyDescent="0.25">
      <c r="A132">
        <v>33</v>
      </c>
      <c r="B132" t="s">
        <v>201</v>
      </c>
      <c r="C132">
        <v>3</v>
      </c>
    </row>
    <row r="133" spans="1:3" x14ac:dyDescent="0.25">
      <c r="A133">
        <v>34</v>
      </c>
      <c r="B133" t="s">
        <v>202</v>
      </c>
      <c r="C133">
        <v>3</v>
      </c>
    </row>
    <row r="134" spans="1:3" x14ac:dyDescent="0.25">
      <c r="A134">
        <v>37</v>
      </c>
      <c r="B134" t="s">
        <v>203</v>
      </c>
      <c r="C134">
        <v>3</v>
      </c>
    </row>
    <row r="135" spans="1:3" x14ac:dyDescent="0.25">
      <c r="A135">
        <v>38</v>
      </c>
      <c r="B135" t="s">
        <v>652</v>
      </c>
      <c r="C135">
        <v>3</v>
      </c>
    </row>
    <row r="136" spans="1:3" x14ac:dyDescent="0.25">
      <c r="A136">
        <v>43</v>
      </c>
      <c r="B136" t="s">
        <v>204</v>
      </c>
      <c r="C136">
        <v>3</v>
      </c>
    </row>
    <row r="137" spans="1:3" x14ac:dyDescent="0.25">
      <c r="A137">
        <v>44</v>
      </c>
      <c r="B137" t="s">
        <v>205</v>
      </c>
      <c r="C137">
        <v>3</v>
      </c>
    </row>
    <row r="138" spans="1:3" x14ac:dyDescent="0.25">
      <c r="A138">
        <v>45</v>
      </c>
      <c r="B138" t="s">
        <v>206</v>
      </c>
      <c r="C138">
        <v>3</v>
      </c>
    </row>
    <row r="139" spans="1:3" x14ac:dyDescent="0.25">
      <c r="A139">
        <v>46</v>
      </c>
      <c r="B139" t="s">
        <v>207</v>
      </c>
      <c r="C139">
        <v>3</v>
      </c>
    </row>
    <row r="140" spans="1:3" x14ac:dyDescent="0.25">
      <c r="A140">
        <v>47</v>
      </c>
      <c r="B140" t="s">
        <v>208</v>
      </c>
      <c r="C140">
        <v>3</v>
      </c>
    </row>
    <row r="141" spans="1:3" x14ac:dyDescent="0.25">
      <c r="A141">
        <v>48</v>
      </c>
      <c r="B141" t="s">
        <v>209</v>
      </c>
      <c r="C141">
        <v>3</v>
      </c>
    </row>
    <row r="142" spans="1:3" x14ac:dyDescent="0.25">
      <c r="A142">
        <v>49</v>
      </c>
      <c r="B142" t="s">
        <v>210</v>
      </c>
      <c r="C142">
        <v>3</v>
      </c>
    </row>
    <row r="143" spans="1:3" x14ac:dyDescent="0.25">
      <c r="A143">
        <v>50</v>
      </c>
      <c r="B143" t="s">
        <v>211</v>
      </c>
      <c r="C143">
        <v>3</v>
      </c>
    </row>
    <row r="144" spans="1:3" x14ac:dyDescent="0.25">
      <c r="A144">
        <v>51</v>
      </c>
      <c r="B144" t="s">
        <v>212</v>
      </c>
      <c r="C144">
        <v>3</v>
      </c>
    </row>
    <row r="145" spans="1:3" x14ac:dyDescent="0.25">
      <c r="A145">
        <v>52</v>
      </c>
      <c r="B145" t="s">
        <v>213</v>
      </c>
      <c r="C145">
        <v>3</v>
      </c>
    </row>
    <row r="146" spans="1:3" x14ac:dyDescent="0.25">
      <c r="A146">
        <v>53</v>
      </c>
      <c r="B146" t="s">
        <v>214</v>
      </c>
      <c r="C146">
        <v>3</v>
      </c>
    </row>
    <row r="147" spans="1:3" x14ac:dyDescent="0.25">
      <c r="A147">
        <v>54</v>
      </c>
      <c r="B147" t="s">
        <v>215</v>
      </c>
      <c r="C147">
        <v>3</v>
      </c>
    </row>
    <row r="148" spans="1:3" x14ac:dyDescent="0.25">
      <c r="A148">
        <v>55</v>
      </c>
      <c r="B148" t="s">
        <v>216</v>
      </c>
      <c r="C148">
        <v>3</v>
      </c>
    </row>
    <row r="149" spans="1:3" x14ac:dyDescent="0.25">
      <c r="A149">
        <v>56</v>
      </c>
      <c r="B149" t="s">
        <v>217</v>
      </c>
      <c r="C149">
        <v>3</v>
      </c>
    </row>
    <row r="150" spans="1:3" x14ac:dyDescent="0.25">
      <c r="A150">
        <v>57</v>
      </c>
      <c r="B150" t="s">
        <v>218</v>
      </c>
      <c r="C150">
        <v>3</v>
      </c>
    </row>
    <row r="151" spans="1:3" x14ac:dyDescent="0.25">
      <c r="A151">
        <v>58</v>
      </c>
      <c r="B151" t="s">
        <v>219</v>
      </c>
      <c r="C151">
        <v>3</v>
      </c>
    </row>
    <row r="152" spans="1:3" x14ac:dyDescent="0.25">
      <c r="A152">
        <v>59</v>
      </c>
      <c r="B152" t="s">
        <v>220</v>
      </c>
      <c r="C152">
        <v>3</v>
      </c>
    </row>
    <row r="153" spans="1:3" x14ac:dyDescent="0.25">
      <c r="A153">
        <v>60</v>
      </c>
      <c r="B153" t="s">
        <v>221</v>
      </c>
      <c r="C153">
        <v>3</v>
      </c>
    </row>
    <row r="154" spans="1:3" x14ac:dyDescent="0.25">
      <c r="A154">
        <v>61</v>
      </c>
      <c r="B154" t="s">
        <v>222</v>
      </c>
      <c r="C154">
        <v>3</v>
      </c>
    </row>
    <row r="155" spans="1:3" x14ac:dyDescent="0.25">
      <c r="A155">
        <v>62</v>
      </c>
      <c r="B155" t="s">
        <v>223</v>
      </c>
      <c r="C155">
        <v>3</v>
      </c>
    </row>
    <row r="156" spans="1:3" x14ac:dyDescent="0.25">
      <c r="A156">
        <v>63</v>
      </c>
      <c r="B156" t="s">
        <v>224</v>
      </c>
      <c r="C156">
        <v>3</v>
      </c>
    </row>
    <row r="157" spans="1:3" x14ac:dyDescent="0.25">
      <c r="A157">
        <v>64</v>
      </c>
      <c r="B157" t="s">
        <v>225</v>
      </c>
      <c r="C157">
        <v>3</v>
      </c>
    </row>
    <row r="158" spans="1:3" x14ac:dyDescent="0.25">
      <c r="A158">
        <v>65</v>
      </c>
      <c r="B158" t="s">
        <v>226</v>
      </c>
      <c r="C158">
        <v>3</v>
      </c>
    </row>
    <row r="159" spans="1:3" x14ac:dyDescent="0.25">
      <c r="A159">
        <v>66</v>
      </c>
      <c r="B159" t="s">
        <v>227</v>
      </c>
      <c r="C159">
        <v>3</v>
      </c>
    </row>
    <row r="160" spans="1:3" x14ac:dyDescent="0.25">
      <c r="A160">
        <v>67</v>
      </c>
      <c r="B160" t="s">
        <v>228</v>
      </c>
      <c r="C160">
        <v>3</v>
      </c>
    </row>
    <row r="161" spans="1:3" x14ac:dyDescent="0.25">
      <c r="A161">
        <v>68</v>
      </c>
      <c r="B161" t="s">
        <v>229</v>
      </c>
      <c r="C161">
        <v>3</v>
      </c>
    </row>
    <row r="162" spans="1:3" x14ac:dyDescent="0.25">
      <c r="A162">
        <v>69</v>
      </c>
      <c r="B162" t="s">
        <v>230</v>
      </c>
      <c r="C162">
        <v>3</v>
      </c>
    </row>
    <row r="163" spans="1:3" x14ac:dyDescent="0.25">
      <c r="A163">
        <v>70</v>
      </c>
      <c r="B163" t="s">
        <v>231</v>
      </c>
      <c r="C163">
        <v>3</v>
      </c>
    </row>
    <row r="164" spans="1:3" x14ac:dyDescent="0.25">
      <c r="A164">
        <v>71</v>
      </c>
      <c r="B164" t="s">
        <v>232</v>
      </c>
      <c r="C164">
        <v>3</v>
      </c>
    </row>
    <row r="165" spans="1:3" x14ac:dyDescent="0.25">
      <c r="A165">
        <v>72</v>
      </c>
      <c r="B165" t="s">
        <v>233</v>
      </c>
      <c r="C165">
        <v>3</v>
      </c>
    </row>
    <row r="166" spans="1:3" x14ac:dyDescent="0.25">
      <c r="A166">
        <v>73</v>
      </c>
      <c r="B166" t="s">
        <v>234</v>
      </c>
      <c r="C166">
        <v>3</v>
      </c>
    </row>
    <row r="167" spans="1:3" x14ac:dyDescent="0.25">
      <c r="A167">
        <v>77</v>
      </c>
      <c r="B167" t="s">
        <v>235</v>
      </c>
      <c r="C167">
        <v>3</v>
      </c>
    </row>
    <row r="168" spans="1:3" x14ac:dyDescent="0.25">
      <c r="A168">
        <v>78</v>
      </c>
      <c r="B168" t="s">
        <v>236</v>
      </c>
      <c r="C168">
        <v>3</v>
      </c>
    </row>
    <row r="169" spans="1:3" x14ac:dyDescent="0.25">
      <c r="A169">
        <v>79</v>
      </c>
      <c r="B169" t="s">
        <v>237</v>
      </c>
      <c r="C169">
        <v>3</v>
      </c>
    </row>
    <row r="170" spans="1:3" x14ac:dyDescent="0.25">
      <c r="A170">
        <v>80</v>
      </c>
      <c r="B170" t="s">
        <v>238</v>
      </c>
      <c r="C170">
        <v>3</v>
      </c>
    </row>
    <row r="171" spans="1:3" x14ac:dyDescent="0.25">
      <c r="A171">
        <v>81</v>
      </c>
      <c r="B171" t="s">
        <v>239</v>
      </c>
      <c r="C171">
        <v>3</v>
      </c>
    </row>
    <row r="172" spans="1:3" x14ac:dyDescent="0.25">
      <c r="A172">
        <v>82</v>
      </c>
      <c r="B172" t="s">
        <v>240</v>
      </c>
      <c r="C172">
        <v>3</v>
      </c>
    </row>
    <row r="173" spans="1:3" x14ac:dyDescent="0.25">
      <c r="A173">
        <v>83</v>
      </c>
      <c r="B173" t="s">
        <v>529</v>
      </c>
      <c r="C173">
        <v>3</v>
      </c>
    </row>
    <row r="174" spans="1:3" x14ac:dyDescent="0.25">
      <c r="A174">
        <v>84</v>
      </c>
      <c r="B174" t="s">
        <v>241</v>
      </c>
      <c r="C174">
        <v>3</v>
      </c>
    </row>
    <row r="175" spans="1:3" x14ac:dyDescent="0.25">
      <c r="A175">
        <v>85</v>
      </c>
      <c r="B175" t="s">
        <v>242</v>
      </c>
      <c r="C175">
        <v>3</v>
      </c>
    </row>
    <row r="176" spans="1:3" x14ac:dyDescent="0.25">
      <c r="A176">
        <v>86</v>
      </c>
      <c r="B176" t="s">
        <v>243</v>
      </c>
      <c r="C176">
        <v>3</v>
      </c>
    </row>
    <row r="177" spans="1:3" x14ac:dyDescent="0.25">
      <c r="A177">
        <v>87</v>
      </c>
      <c r="B177" t="s">
        <v>244</v>
      </c>
      <c r="C177">
        <v>3</v>
      </c>
    </row>
    <row r="178" spans="1:3" x14ac:dyDescent="0.25">
      <c r="A178">
        <v>88</v>
      </c>
      <c r="B178" t="s">
        <v>245</v>
      </c>
      <c r="C178">
        <v>3</v>
      </c>
    </row>
    <row r="179" spans="1:3" x14ac:dyDescent="0.25">
      <c r="A179">
        <v>89</v>
      </c>
      <c r="B179" t="s">
        <v>246</v>
      </c>
      <c r="C179">
        <v>3</v>
      </c>
    </row>
    <row r="180" spans="1:3" x14ac:dyDescent="0.25">
      <c r="A180">
        <v>90</v>
      </c>
      <c r="B180" t="s">
        <v>247</v>
      </c>
      <c r="C180">
        <v>3</v>
      </c>
    </row>
    <row r="181" spans="1:3" x14ac:dyDescent="0.25">
      <c r="A181">
        <v>91</v>
      </c>
      <c r="B181" t="s">
        <v>248</v>
      </c>
      <c r="C181">
        <v>3</v>
      </c>
    </row>
    <row r="182" spans="1:3" x14ac:dyDescent="0.25">
      <c r="A182">
        <v>92</v>
      </c>
      <c r="B182" t="s">
        <v>249</v>
      </c>
      <c r="C182">
        <v>3</v>
      </c>
    </row>
    <row r="183" spans="1:3" x14ac:dyDescent="0.25">
      <c r="A183">
        <v>93</v>
      </c>
      <c r="B183" t="s">
        <v>250</v>
      </c>
      <c r="C183">
        <v>3</v>
      </c>
    </row>
    <row r="184" spans="1:3" x14ac:dyDescent="0.25">
      <c r="A184">
        <v>94</v>
      </c>
      <c r="B184" t="s">
        <v>251</v>
      </c>
      <c r="C184">
        <v>3</v>
      </c>
    </row>
    <row r="185" spans="1:3" x14ac:dyDescent="0.25">
      <c r="A185">
        <v>96</v>
      </c>
      <c r="B185" t="s">
        <v>252</v>
      </c>
      <c r="C185">
        <v>3</v>
      </c>
    </row>
    <row r="186" spans="1:3" x14ac:dyDescent="0.25">
      <c r="A186">
        <v>97</v>
      </c>
      <c r="B186" t="s">
        <v>253</v>
      </c>
      <c r="C186">
        <v>3</v>
      </c>
    </row>
    <row r="187" spans="1:3" x14ac:dyDescent="0.25">
      <c r="A187">
        <v>98</v>
      </c>
      <c r="B187" t="s">
        <v>254</v>
      </c>
      <c r="C187">
        <v>3</v>
      </c>
    </row>
    <row r="188" spans="1:3" x14ac:dyDescent="0.25">
      <c r="A188">
        <v>99</v>
      </c>
      <c r="B188" t="s">
        <v>255</v>
      </c>
      <c r="C188">
        <v>3</v>
      </c>
    </row>
    <row r="189" spans="1:3" x14ac:dyDescent="0.25">
      <c r="A189">
        <v>100</v>
      </c>
      <c r="B189" t="s">
        <v>256</v>
      </c>
      <c r="C189">
        <v>3</v>
      </c>
    </row>
    <row r="190" spans="1:3" x14ac:dyDescent="0.25">
      <c r="A190">
        <v>101</v>
      </c>
      <c r="B190" t="s">
        <v>257</v>
      </c>
      <c r="C190">
        <v>3</v>
      </c>
    </row>
    <row r="191" spans="1:3" x14ac:dyDescent="0.25">
      <c r="A191">
        <v>102</v>
      </c>
      <c r="B191" t="s">
        <v>258</v>
      </c>
      <c r="C191">
        <v>3</v>
      </c>
    </row>
    <row r="192" spans="1:3" x14ac:dyDescent="0.25">
      <c r="A192">
        <v>103</v>
      </c>
      <c r="B192" t="s">
        <v>259</v>
      </c>
      <c r="C192">
        <v>3</v>
      </c>
    </row>
    <row r="193" spans="1:3" x14ac:dyDescent="0.25">
      <c r="A193">
        <v>104</v>
      </c>
      <c r="B193" t="s">
        <v>260</v>
      </c>
      <c r="C193">
        <v>3</v>
      </c>
    </row>
    <row r="194" spans="1:3" x14ac:dyDescent="0.25">
      <c r="A194">
        <v>105</v>
      </c>
      <c r="B194" t="s">
        <v>261</v>
      </c>
      <c r="C194">
        <v>3</v>
      </c>
    </row>
    <row r="195" spans="1:3" x14ac:dyDescent="0.25">
      <c r="A195">
        <v>108</v>
      </c>
      <c r="B195" t="s">
        <v>262</v>
      </c>
      <c r="C195">
        <v>3</v>
      </c>
    </row>
    <row r="196" spans="1:3" x14ac:dyDescent="0.25">
      <c r="A196">
        <v>109</v>
      </c>
      <c r="B196" t="s">
        <v>263</v>
      </c>
      <c r="C196">
        <v>3</v>
      </c>
    </row>
    <row r="197" spans="1:3" x14ac:dyDescent="0.25">
      <c r="A197">
        <v>110</v>
      </c>
      <c r="B197" t="s">
        <v>264</v>
      </c>
      <c r="C197">
        <v>3</v>
      </c>
    </row>
    <row r="198" spans="1:3" x14ac:dyDescent="0.25">
      <c r="A198">
        <v>111</v>
      </c>
      <c r="B198" t="s">
        <v>265</v>
      </c>
      <c r="C198">
        <v>3</v>
      </c>
    </row>
    <row r="199" spans="1:3" x14ac:dyDescent="0.25">
      <c r="A199">
        <v>112</v>
      </c>
      <c r="B199" t="s">
        <v>266</v>
      </c>
      <c r="C199">
        <v>3</v>
      </c>
    </row>
    <row r="200" spans="1:3" x14ac:dyDescent="0.25">
      <c r="A200">
        <v>114</v>
      </c>
      <c r="B200" t="s">
        <v>267</v>
      </c>
      <c r="C200">
        <v>3</v>
      </c>
    </row>
    <row r="201" spans="1:3" x14ac:dyDescent="0.25">
      <c r="A201">
        <v>115</v>
      </c>
      <c r="B201" t="s">
        <v>268</v>
      </c>
      <c r="C201">
        <v>3</v>
      </c>
    </row>
    <row r="202" spans="1:3" x14ac:dyDescent="0.25">
      <c r="A202">
        <v>116</v>
      </c>
      <c r="B202" t="s">
        <v>269</v>
      </c>
      <c r="C202">
        <v>3</v>
      </c>
    </row>
    <row r="203" spans="1:3" x14ac:dyDescent="0.25">
      <c r="A203">
        <v>117</v>
      </c>
      <c r="B203" t="s">
        <v>270</v>
      </c>
      <c r="C203">
        <v>3</v>
      </c>
    </row>
    <row r="204" spans="1:3" x14ac:dyDescent="0.25">
      <c r="A204">
        <v>118</v>
      </c>
      <c r="B204" t="s">
        <v>271</v>
      </c>
      <c r="C204">
        <v>3</v>
      </c>
    </row>
    <row r="205" spans="1:3" x14ac:dyDescent="0.25">
      <c r="A205">
        <v>119</v>
      </c>
      <c r="B205" t="s">
        <v>272</v>
      </c>
      <c r="C205">
        <v>3</v>
      </c>
    </row>
    <row r="206" spans="1:3" x14ac:dyDescent="0.25">
      <c r="A206">
        <v>120</v>
      </c>
      <c r="B206" t="s">
        <v>273</v>
      </c>
      <c r="C206">
        <v>3</v>
      </c>
    </row>
    <row r="207" spans="1:3" x14ac:dyDescent="0.25">
      <c r="A207">
        <v>121</v>
      </c>
      <c r="B207" t="s">
        <v>274</v>
      </c>
      <c r="C207">
        <v>3</v>
      </c>
    </row>
    <row r="208" spans="1:3" x14ac:dyDescent="0.25">
      <c r="A208">
        <v>128</v>
      </c>
      <c r="B208" t="s">
        <v>275</v>
      </c>
      <c r="C208">
        <v>3</v>
      </c>
    </row>
    <row r="209" spans="1:3" x14ac:dyDescent="0.25">
      <c r="A209">
        <v>137</v>
      </c>
      <c r="B209" t="s">
        <v>276</v>
      </c>
      <c r="C209">
        <v>3</v>
      </c>
    </row>
    <row r="210" spans="1:3" x14ac:dyDescent="0.25">
      <c r="A210">
        <v>152</v>
      </c>
      <c r="B210" t="s">
        <v>277</v>
      </c>
      <c r="C210">
        <v>3</v>
      </c>
    </row>
    <row r="211" spans="1:3" x14ac:dyDescent="0.25">
      <c r="A211">
        <v>153</v>
      </c>
      <c r="B211" t="s">
        <v>278</v>
      </c>
      <c r="C211">
        <v>3</v>
      </c>
    </row>
    <row r="212" spans="1:3" x14ac:dyDescent="0.25">
      <c r="A212">
        <v>154</v>
      </c>
      <c r="B212" t="s">
        <v>658</v>
      </c>
      <c r="C212">
        <v>3</v>
      </c>
    </row>
    <row r="213" spans="1:3" x14ac:dyDescent="0.25">
      <c r="A213">
        <v>155</v>
      </c>
      <c r="B213" t="s">
        <v>279</v>
      </c>
      <c r="C213">
        <v>3</v>
      </c>
    </row>
    <row r="214" spans="1:3" x14ac:dyDescent="0.25">
      <c r="A214">
        <v>156</v>
      </c>
      <c r="B214" t="s">
        <v>280</v>
      </c>
      <c r="C214">
        <v>3</v>
      </c>
    </row>
    <row r="215" spans="1:3" x14ac:dyDescent="0.25">
      <c r="A215">
        <v>157</v>
      </c>
      <c r="B215" t="s">
        <v>659</v>
      </c>
      <c r="C215">
        <v>3</v>
      </c>
    </row>
    <row r="216" spans="1:3" x14ac:dyDescent="0.25">
      <c r="A216">
        <v>158</v>
      </c>
      <c r="B216" t="s">
        <v>281</v>
      </c>
      <c r="C216">
        <v>3</v>
      </c>
    </row>
    <row r="217" spans="1:3" x14ac:dyDescent="0.25">
      <c r="A217">
        <v>159</v>
      </c>
      <c r="B217" t="s">
        <v>282</v>
      </c>
      <c r="C217">
        <v>3</v>
      </c>
    </row>
    <row r="218" spans="1:3" x14ac:dyDescent="0.25">
      <c r="A218">
        <v>160</v>
      </c>
      <c r="B218" t="s">
        <v>283</v>
      </c>
      <c r="C218">
        <v>3</v>
      </c>
    </row>
    <row r="219" spans="1:3" x14ac:dyDescent="0.25">
      <c r="A219">
        <v>170</v>
      </c>
      <c r="B219" t="s">
        <v>284</v>
      </c>
      <c r="C219">
        <v>3</v>
      </c>
    </row>
    <row r="220" spans="1:3" x14ac:dyDescent="0.25">
      <c r="A220">
        <v>171</v>
      </c>
      <c r="B220" t="s">
        <v>285</v>
      </c>
      <c r="C220">
        <v>3</v>
      </c>
    </row>
    <row r="221" spans="1:3" x14ac:dyDescent="0.25">
      <c r="A221">
        <v>175</v>
      </c>
      <c r="B221" t="s">
        <v>286</v>
      </c>
      <c r="C221">
        <v>3</v>
      </c>
    </row>
    <row r="222" spans="1:3" x14ac:dyDescent="0.25">
      <c r="A222">
        <v>176</v>
      </c>
      <c r="B222" t="s">
        <v>287</v>
      </c>
      <c r="C222">
        <v>3</v>
      </c>
    </row>
    <row r="223" spans="1:3" x14ac:dyDescent="0.25">
      <c r="A223">
        <v>177</v>
      </c>
      <c r="B223" t="s">
        <v>288</v>
      </c>
      <c r="C223">
        <v>3</v>
      </c>
    </row>
    <row r="224" spans="1:3" x14ac:dyDescent="0.25">
      <c r="A224">
        <v>178</v>
      </c>
      <c r="B224" t="s">
        <v>289</v>
      </c>
      <c r="C224">
        <v>3</v>
      </c>
    </row>
    <row r="225" spans="1:3" x14ac:dyDescent="0.25">
      <c r="A225">
        <v>182</v>
      </c>
      <c r="B225" t="s">
        <v>290</v>
      </c>
      <c r="C225">
        <v>3</v>
      </c>
    </row>
    <row r="226" spans="1:3" x14ac:dyDescent="0.25">
      <c r="A226">
        <v>183</v>
      </c>
      <c r="B226" t="s">
        <v>291</v>
      </c>
      <c r="C226">
        <v>3</v>
      </c>
    </row>
    <row r="227" spans="1:3" x14ac:dyDescent="0.25">
      <c r="A227">
        <v>184</v>
      </c>
      <c r="B227" t="s">
        <v>292</v>
      </c>
      <c r="C227">
        <v>3</v>
      </c>
    </row>
    <row r="228" spans="1:3" x14ac:dyDescent="0.25">
      <c r="A228">
        <v>186</v>
      </c>
      <c r="B228" t="s">
        <v>293</v>
      </c>
      <c r="C228">
        <v>3</v>
      </c>
    </row>
    <row r="229" spans="1:3" x14ac:dyDescent="0.25">
      <c r="A229">
        <v>187</v>
      </c>
      <c r="B229" t="s">
        <v>294</v>
      </c>
      <c r="C229">
        <v>3</v>
      </c>
    </row>
    <row r="230" spans="1:3" x14ac:dyDescent="0.25">
      <c r="A230">
        <v>188</v>
      </c>
      <c r="B230" t="s">
        <v>295</v>
      </c>
      <c r="C230">
        <v>3</v>
      </c>
    </row>
    <row r="231" spans="1:3" x14ac:dyDescent="0.25">
      <c r="A231">
        <v>189</v>
      </c>
      <c r="B231" t="s">
        <v>296</v>
      </c>
      <c r="C231">
        <v>3</v>
      </c>
    </row>
    <row r="232" spans="1:3" x14ac:dyDescent="0.25">
      <c r="A232">
        <v>190</v>
      </c>
      <c r="B232" t="s">
        <v>297</v>
      </c>
      <c r="C232">
        <v>3</v>
      </c>
    </row>
    <row r="233" spans="1:3" x14ac:dyDescent="0.25">
      <c r="A233">
        <v>191</v>
      </c>
      <c r="B233" t="s">
        <v>298</v>
      </c>
      <c r="C233">
        <v>3</v>
      </c>
    </row>
    <row r="234" spans="1:3" x14ac:dyDescent="0.25">
      <c r="A234">
        <v>192</v>
      </c>
      <c r="B234" t="s">
        <v>299</v>
      </c>
      <c r="C234">
        <v>3</v>
      </c>
    </row>
    <row r="235" spans="1:3" x14ac:dyDescent="0.25">
      <c r="A235">
        <v>193</v>
      </c>
      <c r="B235" t="s">
        <v>300</v>
      </c>
      <c r="C235">
        <v>3</v>
      </c>
    </row>
    <row r="236" spans="1:3" x14ac:dyDescent="0.25">
      <c r="A236">
        <v>194</v>
      </c>
      <c r="B236" t="s">
        <v>301</v>
      </c>
      <c r="C236">
        <v>3</v>
      </c>
    </row>
    <row r="237" spans="1:3" x14ac:dyDescent="0.25">
      <c r="A237">
        <v>195</v>
      </c>
      <c r="B237" t="s">
        <v>302</v>
      </c>
      <c r="C237">
        <v>3</v>
      </c>
    </row>
    <row r="238" spans="1:3" x14ac:dyDescent="0.25">
      <c r="A238">
        <v>198</v>
      </c>
      <c r="B238" t="s">
        <v>303</v>
      </c>
      <c r="C238">
        <v>3</v>
      </c>
    </row>
    <row r="239" spans="1:3" x14ac:dyDescent="0.25">
      <c r="A239">
        <v>199</v>
      </c>
      <c r="B239" t="s">
        <v>304</v>
      </c>
      <c r="C239">
        <v>3</v>
      </c>
    </row>
    <row r="240" spans="1:3" x14ac:dyDescent="0.25">
      <c r="A240">
        <v>200</v>
      </c>
      <c r="B240" t="s">
        <v>305</v>
      </c>
      <c r="C240">
        <v>3</v>
      </c>
    </row>
    <row r="241" spans="1:3" x14ac:dyDescent="0.25">
      <c r="A241">
        <v>201</v>
      </c>
      <c r="B241" t="s">
        <v>520</v>
      </c>
      <c r="C241">
        <v>3</v>
      </c>
    </row>
    <row r="242" spans="1:3" x14ac:dyDescent="0.25">
      <c r="A242">
        <v>202</v>
      </c>
      <c r="B242" t="s">
        <v>306</v>
      </c>
      <c r="C242">
        <v>3</v>
      </c>
    </row>
    <row r="243" spans="1:3" x14ac:dyDescent="0.25">
      <c r="A243">
        <v>203</v>
      </c>
      <c r="B243" t="s">
        <v>307</v>
      </c>
      <c r="C243">
        <v>3</v>
      </c>
    </row>
    <row r="244" spans="1:3" x14ac:dyDescent="0.25">
      <c r="A244">
        <v>206</v>
      </c>
      <c r="B244" t="s">
        <v>308</v>
      </c>
      <c r="C244">
        <v>3</v>
      </c>
    </row>
    <row r="245" spans="1:3" x14ac:dyDescent="0.25">
      <c r="A245">
        <v>209</v>
      </c>
      <c r="B245" t="s">
        <v>309</v>
      </c>
      <c r="C245">
        <v>3</v>
      </c>
    </row>
    <row r="246" spans="1:3" x14ac:dyDescent="0.25">
      <c r="A246">
        <v>210</v>
      </c>
      <c r="B246" t="s">
        <v>310</v>
      </c>
      <c r="C246">
        <v>3</v>
      </c>
    </row>
    <row r="247" spans="1:3" x14ac:dyDescent="0.25">
      <c r="A247">
        <v>211</v>
      </c>
      <c r="B247" t="s">
        <v>660</v>
      </c>
      <c r="C247">
        <v>3</v>
      </c>
    </row>
    <row r="248" spans="1:3" x14ac:dyDescent="0.25">
      <c r="A248">
        <v>213</v>
      </c>
      <c r="B248" t="s">
        <v>311</v>
      </c>
      <c r="C248">
        <v>3</v>
      </c>
    </row>
    <row r="249" spans="1:3" x14ac:dyDescent="0.25">
      <c r="A249">
        <v>214</v>
      </c>
      <c r="B249" t="s">
        <v>312</v>
      </c>
      <c r="C249">
        <v>3</v>
      </c>
    </row>
    <row r="250" spans="1:3" x14ac:dyDescent="0.25">
      <c r="A250">
        <v>215</v>
      </c>
      <c r="B250" t="s">
        <v>313</v>
      </c>
      <c r="C250">
        <v>3</v>
      </c>
    </row>
    <row r="251" spans="1:3" x14ac:dyDescent="0.25">
      <c r="A251">
        <v>216</v>
      </c>
      <c r="B251" t="s">
        <v>314</v>
      </c>
      <c r="C251">
        <v>3</v>
      </c>
    </row>
    <row r="252" spans="1:3" x14ac:dyDescent="0.25">
      <c r="A252">
        <v>217</v>
      </c>
      <c r="B252" t="s">
        <v>315</v>
      </c>
      <c r="C252">
        <v>3</v>
      </c>
    </row>
    <row r="253" spans="1:3" x14ac:dyDescent="0.25">
      <c r="A253">
        <v>220</v>
      </c>
      <c r="B253" t="s">
        <v>316</v>
      </c>
      <c r="C253">
        <v>3</v>
      </c>
    </row>
    <row r="254" spans="1:3" x14ac:dyDescent="0.25">
      <c r="A254">
        <v>221</v>
      </c>
      <c r="B254" t="s">
        <v>317</v>
      </c>
      <c r="C254">
        <v>3</v>
      </c>
    </row>
    <row r="255" spans="1:3" x14ac:dyDescent="0.25">
      <c r="A255">
        <v>222</v>
      </c>
      <c r="B255" t="s">
        <v>318</v>
      </c>
      <c r="C255">
        <v>3</v>
      </c>
    </row>
    <row r="256" spans="1:3" x14ac:dyDescent="0.25">
      <c r="A256">
        <v>225</v>
      </c>
      <c r="B256" t="s">
        <v>526</v>
      </c>
      <c r="C256">
        <v>3</v>
      </c>
    </row>
    <row r="257" spans="1:3" x14ac:dyDescent="0.25">
      <c r="A257">
        <v>227</v>
      </c>
      <c r="B257" t="s">
        <v>528</v>
      </c>
      <c r="C257">
        <v>3</v>
      </c>
    </row>
    <row r="258" spans="1:3" x14ac:dyDescent="0.25">
      <c r="A258">
        <v>228</v>
      </c>
      <c r="B258" t="s">
        <v>319</v>
      </c>
      <c r="C258">
        <v>3</v>
      </c>
    </row>
    <row r="259" spans="1:3" x14ac:dyDescent="0.25">
      <c r="A259">
        <v>229</v>
      </c>
      <c r="B259" t="s">
        <v>320</v>
      </c>
      <c r="C259">
        <v>3</v>
      </c>
    </row>
    <row r="260" spans="1:3" x14ac:dyDescent="0.25">
      <c r="A260">
        <v>230</v>
      </c>
      <c r="B260" t="s">
        <v>321</v>
      </c>
      <c r="C260">
        <v>3</v>
      </c>
    </row>
    <row r="261" spans="1:3" x14ac:dyDescent="0.25">
      <c r="A261">
        <v>231</v>
      </c>
      <c r="B261" t="s">
        <v>322</v>
      </c>
      <c r="C261">
        <v>3</v>
      </c>
    </row>
    <row r="262" spans="1:3" x14ac:dyDescent="0.25">
      <c r="A262">
        <v>232</v>
      </c>
      <c r="B262" t="s">
        <v>661</v>
      </c>
      <c r="C262">
        <v>3</v>
      </c>
    </row>
    <row r="263" spans="1:3" x14ac:dyDescent="0.25">
      <c r="A263">
        <v>233</v>
      </c>
      <c r="B263" t="s">
        <v>323</v>
      </c>
      <c r="C263">
        <v>3</v>
      </c>
    </row>
    <row r="264" spans="1:3" x14ac:dyDescent="0.25">
      <c r="A264">
        <v>234</v>
      </c>
      <c r="B264" t="s">
        <v>324</v>
      </c>
      <c r="C264">
        <v>3</v>
      </c>
    </row>
    <row r="265" spans="1:3" x14ac:dyDescent="0.25">
      <c r="A265">
        <v>235</v>
      </c>
      <c r="B265" t="s">
        <v>325</v>
      </c>
      <c r="C265">
        <v>3</v>
      </c>
    </row>
    <row r="266" spans="1:3" x14ac:dyDescent="0.25">
      <c r="A266">
        <v>238</v>
      </c>
      <c r="B266" t="s">
        <v>511</v>
      </c>
      <c r="C266">
        <v>3</v>
      </c>
    </row>
    <row r="267" spans="1:3" x14ac:dyDescent="0.25">
      <c r="A267">
        <v>241</v>
      </c>
      <c r="B267" t="s">
        <v>532</v>
      </c>
      <c r="C267">
        <v>3</v>
      </c>
    </row>
    <row r="268" spans="1:3" x14ac:dyDescent="0.25">
      <c r="A268">
        <v>252</v>
      </c>
      <c r="B268" t="s">
        <v>326</v>
      </c>
      <c r="C268">
        <v>3</v>
      </c>
    </row>
    <row r="269" spans="1:3" x14ac:dyDescent="0.25">
      <c r="A269">
        <v>253</v>
      </c>
      <c r="B269" t="s">
        <v>327</v>
      </c>
      <c r="C269">
        <v>3</v>
      </c>
    </row>
    <row r="270" spans="1:3" x14ac:dyDescent="0.25">
      <c r="A270">
        <v>254</v>
      </c>
      <c r="B270" t="s">
        <v>328</v>
      </c>
      <c r="C270">
        <v>3</v>
      </c>
    </row>
    <row r="271" spans="1:3" x14ac:dyDescent="0.25">
      <c r="A271">
        <v>255</v>
      </c>
      <c r="B271" t="s">
        <v>329</v>
      </c>
      <c r="C271">
        <v>3</v>
      </c>
    </row>
    <row r="272" spans="1:3" x14ac:dyDescent="0.25">
      <c r="A272">
        <v>256</v>
      </c>
      <c r="B272" t="s">
        <v>330</v>
      </c>
      <c r="C272">
        <v>3</v>
      </c>
    </row>
    <row r="273" spans="1:3" x14ac:dyDescent="0.25">
      <c r="A273">
        <v>257</v>
      </c>
      <c r="B273" t="s">
        <v>331</v>
      </c>
      <c r="C273">
        <v>3</v>
      </c>
    </row>
    <row r="274" spans="1:3" x14ac:dyDescent="0.25">
      <c r="A274">
        <v>258</v>
      </c>
      <c r="B274" t="s">
        <v>332</v>
      </c>
      <c r="C274">
        <v>3</v>
      </c>
    </row>
    <row r="275" spans="1:3" x14ac:dyDescent="0.25">
      <c r="A275">
        <v>259</v>
      </c>
      <c r="B275" t="s">
        <v>333</v>
      </c>
      <c r="C275">
        <v>3</v>
      </c>
    </row>
    <row r="276" spans="1:3" x14ac:dyDescent="0.25">
      <c r="A276">
        <v>260</v>
      </c>
      <c r="B276" t="s">
        <v>334</v>
      </c>
      <c r="C276">
        <v>3</v>
      </c>
    </row>
    <row r="277" spans="1:3" x14ac:dyDescent="0.25">
      <c r="A277">
        <v>270</v>
      </c>
      <c r="B277" t="s">
        <v>335</v>
      </c>
      <c r="C277">
        <v>3</v>
      </c>
    </row>
    <row r="278" spans="1:3" x14ac:dyDescent="0.25">
      <c r="A278">
        <v>271</v>
      </c>
      <c r="B278" t="s">
        <v>336</v>
      </c>
      <c r="C278">
        <v>3</v>
      </c>
    </row>
    <row r="279" spans="1:3" x14ac:dyDescent="0.25">
      <c r="A279">
        <v>272</v>
      </c>
      <c r="B279" t="s">
        <v>337</v>
      </c>
      <c r="C279">
        <v>3</v>
      </c>
    </row>
    <row r="280" spans="1:3" x14ac:dyDescent="0.25">
      <c r="A280">
        <v>273</v>
      </c>
      <c r="B280" t="s">
        <v>338</v>
      </c>
      <c r="C280">
        <v>3</v>
      </c>
    </row>
    <row r="281" spans="1:3" x14ac:dyDescent="0.25">
      <c r="A281">
        <v>274</v>
      </c>
      <c r="B281" t="s">
        <v>339</v>
      </c>
      <c r="C281">
        <v>3</v>
      </c>
    </row>
    <row r="282" spans="1:3" x14ac:dyDescent="0.25">
      <c r="A282">
        <v>275</v>
      </c>
      <c r="B282" t="s">
        <v>340</v>
      </c>
      <c r="C282">
        <v>3</v>
      </c>
    </row>
    <row r="283" spans="1:3" x14ac:dyDescent="0.25">
      <c r="A283">
        <v>278</v>
      </c>
      <c r="B283" t="s">
        <v>341</v>
      </c>
      <c r="C283">
        <v>3</v>
      </c>
    </row>
    <row r="284" spans="1:3" x14ac:dyDescent="0.25">
      <c r="A284">
        <v>279</v>
      </c>
      <c r="B284" t="s">
        <v>342</v>
      </c>
      <c r="C284">
        <v>3</v>
      </c>
    </row>
    <row r="285" spans="1:3" x14ac:dyDescent="0.25">
      <c r="A285">
        <v>285</v>
      </c>
      <c r="B285" t="s">
        <v>343</v>
      </c>
      <c r="C285">
        <v>3</v>
      </c>
    </row>
    <row r="286" spans="1:3" x14ac:dyDescent="0.25">
      <c r="A286">
        <v>286</v>
      </c>
      <c r="B286" t="s">
        <v>344</v>
      </c>
      <c r="C286">
        <v>3</v>
      </c>
    </row>
    <row r="287" spans="1:3" x14ac:dyDescent="0.25">
      <c r="A287">
        <v>296</v>
      </c>
      <c r="B287" t="s">
        <v>345</v>
      </c>
      <c r="C287">
        <v>3</v>
      </c>
    </row>
    <row r="288" spans="1:3" x14ac:dyDescent="0.25">
      <c r="A288">
        <v>297</v>
      </c>
      <c r="B288" t="s">
        <v>346</v>
      </c>
      <c r="C288">
        <v>3</v>
      </c>
    </row>
    <row r="289" spans="1:3" x14ac:dyDescent="0.25">
      <c r="A289">
        <v>298</v>
      </c>
      <c r="B289" t="s">
        <v>347</v>
      </c>
      <c r="C289">
        <v>3</v>
      </c>
    </row>
    <row r="290" spans="1:3" x14ac:dyDescent="0.25">
      <c r="A290">
        <v>299</v>
      </c>
      <c r="B290" t="s">
        <v>348</v>
      </c>
      <c r="C290">
        <v>3</v>
      </c>
    </row>
    <row r="291" spans="1:3" x14ac:dyDescent="0.25">
      <c r="A291">
        <v>300</v>
      </c>
      <c r="B291" t="s">
        <v>349</v>
      </c>
      <c r="C291">
        <v>3</v>
      </c>
    </row>
    <row r="292" spans="1:3" x14ac:dyDescent="0.25">
      <c r="A292">
        <v>301</v>
      </c>
      <c r="B292" t="s">
        <v>350</v>
      </c>
      <c r="C292">
        <v>3</v>
      </c>
    </row>
    <row r="293" spans="1:3" x14ac:dyDescent="0.25">
      <c r="A293">
        <v>307</v>
      </c>
      <c r="B293" t="s">
        <v>351</v>
      </c>
      <c r="C293">
        <v>3</v>
      </c>
    </row>
    <row r="294" spans="1:3" x14ac:dyDescent="0.25">
      <c r="A294">
        <v>308</v>
      </c>
      <c r="B294" t="s">
        <v>352</v>
      </c>
      <c r="C294">
        <v>3</v>
      </c>
    </row>
    <row r="295" spans="1:3" x14ac:dyDescent="0.25">
      <c r="A295">
        <v>309</v>
      </c>
      <c r="B295" t="s">
        <v>353</v>
      </c>
      <c r="C295">
        <v>3</v>
      </c>
    </row>
    <row r="296" spans="1:3" x14ac:dyDescent="0.25">
      <c r="A296">
        <v>310</v>
      </c>
      <c r="B296" t="s">
        <v>354</v>
      </c>
      <c r="C296">
        <v>3</v>
      </c>
    </row>
    <row r="297" spans="1:3" x14ac:dyDescent="0.25">
      <c r="A297">
        <v>311</v>
      </c>
      <c r="B297" t="s">
        <v>355</v>
      </c>
      <c r="C297">
        <v>3</v>
      </c>
    </row>
    <row r="298" spans="1:3" x14ac:dyDescent="0.25">
      <c r="A298">
        <v>312</v>
      </c>
      <c r="B298" t="s">
        <v>356</v>
      </c>
      <c r="C298">
        <v>3</v>
      </c>
    </row>
    <row r="299" spans="1:3" x14ac:dyDescent="0.25">
      <c r="A299">
        <v>313</v>
      </c>
      <c r="B299" t="s">
        <v>357</v>
      </c>
      <c r="C299">
        <v>3</v>
      </c>
    </row>
    <row r="300" spans="1:3" x14ac:dyDescent="0.25">
      <c r="A300">
        <v>314</v>
      </c>
      <c r="B300" t="s">
        <v>358</v>
      </c>
      <c r="C300">
        <v>3</v>
      </c>
    </row>
    <row r="301" spans="1:3" x14ac:dyDescent="0.25">
      <c r="A301">
        <v>315</v>
      </c>
      <c r="B301" t="s">
        <v>359</v>
      </c>
      <c r="C301">
        <v>3</v>
      </c>
    </row>
    <row r="302" spans="1:3" x14ac:dyDescent="0.25">
      <c r="A302">
        <v>318</v>
      </c>
      <c r="B302" t="s">
        <v>360</v>
      </c>
      <c r="C302">
        <v>3</v>
      </c>
    </row>
    <row r="303" spans="1:3" x14ac:dyDescent="0.25">
      <c r="A303">
        <v>319</v>
      </c>
      <c r="B303" t="s">
        <v>361</v>
      </c>
      <c r="C303">
        <v>3</v>
      </c>
    </row>
    <row r="304" spans="1:3" x14ac:dyDescent="0.25">
      <c r="A304">
        <v>322</v>
      </c>
      <c r="B304" t="s">
        <v>362</v>
      </c>
      <c r="C304">
        <v>3</v>
      </c>
    </row>
    <row r="305" spans="1:3" x14ac:dyDescent="0.25">
      <c r="A305">
        <v>323</v>
      </c>
      <c r="B305" t="s">
        <v>363</v>
      </c>
      <c r="C305">
        <v>3</v>
      </c>
    </row>
    <row r="306" spans="1:3" x14ac:dyDescent="0.25">
      <c r="A306">
        <v>324</v>
      </c>
      <c r="B306" t="s">
        <v>364</v>
      </c>
      <c r="C306">
        <v>3</v>
      </c>
    </row>
    <row r="307" spans="1:3" x14ac:dyDescent="0.25">
      <c r="A307">
        <v>327</v>
      </c>
      <c r="B307" t="s">
        <v>365</v>
      </c>
      <c r="C307">
        <v>3</v>
      </c>
    </row>
    <row r="308" spans="1:3" x14ac:dyDescent="0.25">
      <c r="A308">
        <v>331</v>
      </c>
      <c r="B308" t="s">
        <v>366</v>
      </c>
      <c r="C308">
        <v>3</v>
      </c>
    </row>
    <row r="309" spans="1:3" x14ac:dyDescent="0.25">
      <c r="A309">
        <v>332</v>
      </c>
      <c r="B309" t="s">
        <v>367</v>
      </c>
      <c r="C309">
        <v>3</v>
      </c>
    </row>
    <row r="310" spans="1:3" x14ac:dyDescent="0.25">
      <c r="A310">
        <v>335</v>
      </c>
      <c r="B310" t="s">
        <v>368</v>
      </c>
      <c r="C310">
        <v>3</v>
      </c>
    </row>
    <row r="311" spans="1:3" x14ac:dyDescent="0.25">
      <c r="A311">
        <v>336</v>
      </c>
      <c r="B311" t="s">
        <v>369</v>
      </c>
      <c r="C311">
        <v>3</v>
      </c>
    </row>
    <row r="312" spans="1:3" x14ac:dyDescent="0.25">
      <c r="A312">
        <v>337</v>
      </c>
      <c r="B312" t="s">
        <v>370</v>
      </c>
      <c r="C312">
        <v>3</v>
      </c>
    </row>
    <row r="313" spans="1:3" x14ac:dyDescent="0.25">
      <c r="A313">
        <v>338</v>
      </c>
      <c r="B313" t="s">
        <v>371</v>
      </c>
      <c r="C313">
        <v>3</v>
      </c>
    </row>
    <row r="314" spans="1:3" x14ac:dyDescent="0.25">
      <c r="A314">
        <v>341</v>
      </c>
      <c r="B314" t="s">
        <v>372</v>
      </c>
      <c r="C314">
        <v>3</v>
      </c>
    </row>
    <row r="315" spans="1:3" x14ac:dyDescent="0.25">
      <c r="A315">
        <v>342</v>
      </c>
      <c r="B315" t="s">
        <v>373</v>
      </c>
      <c r="C315">
        <v>3</v>
      </c>
    </row>
    <row r="316" spans="1:3" x14ac:dyDescent="0.25">
      <c r="A316">
        <v>343</v>
      </c>
      <c r="B316" t="s">
        <v>374</v>
      </c>
      <c r="C316">
        <v>3</v>
      </c>
    </row>
    <row r="317" spans="1:3" x14ac:dyDescent="0.25">
      <c r="A317">
        <v>344</v>
      </c>
      <c r="B317" t="s">
        <v>375</v>
      </c>
      <c r="C317">
        <v>3</v>
      </c>
    </row>
    <row r="318" spans="1:3" x14ac:dyDescent="0.25">
      <c r="A318">
        <v>345</v>
      </c>
      <c r="B318" t="s">
        <v>376</v>
      </c>
      <c r="C318">
        <v>3</v>
      </c>
    </row>
    <row r="319" spans="1:3" x14ac:dyDescent="0.25">
      <c r="A319">
        <v>346</v>
      </c>
      <c r="B319" t="s">
        <v>377</v>
      </c>
      <c r="C319">
        <v>3</v>
      </c>
    </row>
    <row r="320" spans="1:3" x14ac:dyDescent="0.25">
      <c r="A320">
        <v>347</v>
      </c>
      <c r="B320" t="s">
        <v>378</v>
      </c>
      <c r="C320">
        <v>3</v>
      </c>
    </row>
    <row r="321" spans="1:3" x14ac:dyDescent="0.25">
      <c r="A321">
        <v>348</v>
      </c>
      <c r="B321" t="s">
        <v>379</v>
      </c>
      <c r="C321">
        <v>3</v>
      </c>
    </row>
    <row r="322" spans="1:3" x14ac:dyDescent="0.25">
      <c r="A322">
        <v>353</v>
      </c>
      <c r="B322" t="s">
        <v>380</v>
      </c>
      <c r="C322">
        <v>3</v>
      </c>
    </row>
    <row r="323" spans="1:3" x14ac:dyDescent="0.25">
      <c r="A323">
        <v>354</v>
      </c>
      <c r="B323" t="s">
        <v>381</v>
      </c>
      <c r="C323">
        <v>3</v>
      </c>
    </row>
    <row r="324" spans="1:3" x14ac:dyDescent="0.25">
      <c r="A324">
        <v>355</v>
      </c>
      <c r="B324" t="s">
        <v>382</v>
      </c>
      <c r="C324">
        <v>3</v>
      </c>
    </row>
    <row r="325" spans="1:3" x14ac:dyDescent="0.25">
      <c r="A325">
        <v>356</v>
      </c>
      <c r="B325" t="s">
        <v>383</v>
      </c>
      <c r="C325">
        <v>3</v>
      </c>
    </row>
    <row r="326" spans="1:3" x14ac:dyDescent="0.25">
      <c r="A326">
        <v>360</v>
      </c>
      <c r="B326" t="s">
        <v>384</v>
      </c>
      <c r="C326">
        <v>3</v>
      </c>
    </row>
    <row r="327" spans="1:3" x14ac:dyDescent="0.25">
      <c r="A327">
        <v>361</v>
      </c>
      <c r="B327" t="s">
        <v>385</v>
      </c>
      <c r="C327">
        <v>3</v>
      </c>
    </row>
    <row r="328" spans="1:3" x14ac:dyDescent="0.25">
      <c r="A328">
        <v>362</v>
      </c>
      <c r="B328" t="s">
        <v>386</v>
      </c>
      <c r="C328">
        <v>3</v>
      </c>
    </row>
    <row r="329" spans="1:3" x14ac:dyDescent="0.25">
      <c r="A329">
        <v>363</v>
      </c>
      <c r="B329" t="s">
        <v>387</v>
      </c>
      <c r="C329">
        <v>3</v>
      </c>
    </row>
    <row r="330" spans="1:3" x14ac:dyDescent="0.25">
      <c r="A330">
        <v>364</v>
      </c>
      <c r="B330" t="s">
        <v>388</v>
      </c>
      <c r="C330">
        <v>3</v>
      </c>
    </row>
    <row r="331" spans="1:3" x14ac:dyDescent="0.25">
      <c r="A331">
        <v>365</v>
      </c>
      <c r="B331" t="s">
        <v>389</v>
      </c>
      <c r="C331">
        <v>3</v>
      </c>
    </row>
    <row r="332" spans="1:3" x14ac:dyDescent="0.25">
      <c r="A332">
        <v>366</v>
      </c>
      <c r="B332" t="s">
        <v>390</v>
      </c>
      <c r="C332">
        <v>3</v>
      </c>
    </row>
    <row r="333" spans="1:3" x14ac:dyDescent="0.25">
      <c r="A333">
        <v>367</v>
      </c>
      <c r="B333" t="s">
        <v>391</v>
      </c>
      <c r="C333">
        <v>3</v>
      </c>
    </row>
    <row r="334" spans="1:3" x14ac:dyDescent="0.25">
      <c r="A334">
        <v>368</v>
      </c>
      <c r="B334" t="s">
        <v>392</v>
      </c>
      <c r="C334">
        <v>3</v>
      </c>
    </row>
    <row r="335" spans="1:3" x14ac:dyDescent="0.25">
      <c r="A335">
        <v>370</v>
      </c>
      <c r="B335" t="s">
        <v>393</v>
      </c>
      <c r="C335">
        <v>3</v>
      </c>
    </row>
    <row r="336" spans="1:3" x14ac:dyDescent="0.25">
      <c r="A336">
        <v>387</v>
      </c>
      <c r="B336" t="s">
        <v>394</v>
      </c>
      <c r="C336">
        <v>3</v>
      </c>
    </row>
    <row r="337" spans="1:3" x14ac:dyDescent="0.25">
      <c r="A337">
        <v>388</v>
      </c>
      <c r="B337" t="s">
        <v>395</v>
      </c>
      <c r="C337">
        <v>3</v>
      </c>
    </row>
    <row r="338" spans="1:3" x14ac:dyDescent="0.25">
      <c r="A338">
        <v>389</v>
      </c>
      <c r="B338" t="s">
        <v>396</v>
      </c>
      <c r="C338">
        <v>3</v>
      </c>
    </row>
    <row r="339" spans="1:3" x14ac:dyDescent="0.25">
      <c r="A339">
        <v>390</v>
      </c>
      <c r="B339" t="s">
        <v>397</v>
      </c>
      <c r="C339">
        <v>3</v>
      </c>
    </row>
    <row r="340" spans="1:3" x14ac:dyDescent="0.25">
      <c r="A340">
        <v>391</v>
      </c>
      <c r="B340" t="s">
        <v>398</v>
      </c>
      <c r="C340">
        <v>3</v>
      </c>
    </row>
    <row r="341" spans="1:3" x14ac:dyDescent="0.25">
      <c r="A341">
        <v>392</v>
      </c>
      <c r="B341" t="s">
        <v>399</v>
      </c>
      <c r="C341">
        <v>3</v>
      </c>
    </row>
    <row r="342" spans="1:3" x14ac:dyDescent="0.25">
      <c r="A342">
        <v>393</v>
      </c>
      <c r="B342" t="s">
        <v>400</v>
      </c>
      <c r="C342">
        <v>3</v>
      </c>
    </row>
    <row r="343" spans="1:3" x14ac:dyDescent="0.25">
      <c r="A343">
        <v>394</v>
      </c>
      <c r="B343" t="s">
        <v>401</v>
      </c>
      <c r="C343">
        <v>3</v>
      </c>
    </row>
    <row r="344" spans="1:3" x14ac:dyDescent="0.25">
      <c r="A344">
        <v>395</v>
      </c>
      <c r="B344" t="s">
        <v>402</v>
      </c>
      <c r="C344">
        <v>3</v>
      </c>
    </row>
    <row r="345" spans="1:3" x14ac:dyDescent="0.25">
      <c r="A345">
        <v>406</v>
      </c>
      <c r="B345" t="s">
        <v>403</v>
      </c>
      <c r="C345">
        <v>3</v>
      </c>
    </row>
    <row r="346" spans="1:3" x14ac:dyDescent="0.25">
      <c r="A346">
        <v>407</v>
      </c>
      <c r="B346" t="s">
        <v>404</v>
      </c>
      <c r="C346">
        <v>3</v>
      </c>
    </row>
    <row r="347" spans="1:3" x14ac:dyDescent="0.25">
      <c r="A347">
        <v>415</v>
      </c>
      <c r="B347" t="s">
        <v>405</v>
      </c>
      <c r="C347">
        <v>3</v>
      </c>
    </row>
    <row r="348" spans="1:3" x14ac:dyDescent="0.25">
      <c r="A348">
        <v>416</v>
      </c>
      <c r="B348" t="s">
        <v>406</v>
      </c>
      <c r="C348">
        <v>3</v>
      </c>
    </row>
    <row r="349" spans="1:3" x14ac:dyDescent="0.25">
      <c r="A349">
        <v>418</v>
      </c>
      <c r="B349" t="s">
        <v>407</v>
      </c>
      <c r="C349">
        <v>3</v>
      </c>
    </row>
    <row r="350" spans="1:3" x14ac:dyDescent="0.25">
      <c r="A350">
        <v>419</v>
      </c>
      <c r="B350" t="s">
        <v>408</v>
      </c>
      <c r="C350">
        <v>3</v>
      </c>
    </row>
    <row r="351" spans="1:3" x14ac:dyDescent="0.25">
      <c r="A351">
        <v>420</v>
      </c>
      <c r="B351" t="s">
        <v>697</v>
      </c>
      <c r="C351">
        <v>3</v>
      </c>
    </row>
    <row r="352" spans="1:3" x14ac:dyDescent="0.25">
      <c r="A352">
        <v>421</v>
      </c>
      <c r="B352" t="s">
        <v>168</v>
      </c>
      <c r="C352">
        <v>3</v>
      </c>
    </row>
    <row r="353" spans="1:3" x14ac:dyDescent="0.25">
      <c r="A353">
        <v>422</v>
      </c>
      <c r="B353" t="s">
        <v>698</v>
      </c>
      <c r="C353">
        <v>3</v>
      </c>
    </row>
    <row r="354" spans="1:3" x14ac:dyDescent="0.25">
      <c r="A354">
        <v>423</v>
      </c>
      <c r="B354" t="s">
        <v>699</v>
      </c>
      <c r="C354">
        <v>3</v>
      </c>
    </row>
    <row r="355" spans="1:3" x14ac:dyDescent="0.25">
      <c r="A355">
        <v>424</v>
      </c>
      <c r="B355" t="s">
        <v>409</v>
      </c>
      <c r="C355">
        <v>3</v>
      </c>
    </row>
    <row r="356" spans="1:3" x14ac:dyDescent="0.25">
      <c r="A356">
        <v>427</v>
      </c>
      <c r="B356" t="s">
        <v>700</v>
      </c>
      <c r="C356">
        <v>3</v>
      </c>
    </row>
    <row r="357" spans="1:3" x14ac:dyDescent="0.25">
      <c r="A357">
        <v>428</v>
      </c>
      <c r="B357" t="s">
        <v>410</v>
      </c>
      <c r="C357">
        <v>3</v>
      </c>
    </row>
    <row r="358" spans="1:3" x14ac:dyDescent="0.25">
      <c r="A358">
        <v>429</v>
      </c>
      <c r="B358" t="s">
        <v>411</v>
      </c>
      <c r="C358">
        <v>3</v>
      </c>
    </row>
    <row r="359" spans="1:3" x14ac:dyDescent="0.25">
      <c r="A359">
        <v>430</v>
      </c>
      <c r="B359" t="s">
        <v>412</v>
      </c>
      <c r="C359">
        <v>3</v>
      </c>
    </row>
    <row r="360" spans="1:3" x14ac:dyDescent="0.25">
      <c r="A360">
        <v>431</v>
      </c>
      <c r="B360" t="s">
        <v>413</v>
      </c>
      <c r="C360">
        <v>3</v>
      </c>
    </row>
    <row r="361" spans="1:3" x14ac:dyDescent="0.25">
      <c r="A361">
        <v>432</v>
      </c>
      <c r="B361" t="s">
        <v>414</v>
      </c>
      <c r="C361">
        <v>3</v>
      </c>
    </row>
    <row r="362" spans="1:3" x14ac:dyDescent="0.25">
      <c r="A362">
        <v>434</v>
      </c>
      <c r="B362" t="s">
        <v>415</v>
      </c>
      <c r="C362">
        <v>3</v>
      </c>
    </row>
    <row r="363" spans="1:3" x14ac:dyDescent="0.25">
      <c r="A363">
        <v>435</v>
      </c>
      <c r="B363" t="s">
        <v>416</v>
      </c>
      <c r="C363">
        <v>3</v>
      </c>
    </row>
    <row r="364" spans="1:3" x14ac:dyDescent="0.25">
      <c r="A364">
        <v>436</v>
      </c>
      <c r="B364" t="s">
        <v>417</v>
      </c>
      <c r="C364">
        <v>3</v>
      </c>
    </row>
    <row r="365" spans="1:3" x14ac:dyDescent="0.25">
      <c r="A365">
        <v>437</v>
      </c>
      <c r="B365" t="s">
        <v>418</v>
      </c>
      <c r="C365">
        <v>3</v>
      </c>
    </row>
    <row r="366" spans="1:3" x14ac:dyDescent="0.25">
      <c r="A366">
        <v>449</v>
      </c>
      <c r="B366" t="s">
        <v>419</v>
      </c>
      <c r="C366">
        <v>3</v>
      </c>
    </row>
    <row r="367" spans="1:3" x14ac:dyDescent="0.25">
      <c r="A367">
        <v>450</v>
      </c>
      <c r="B367" t="s">
        <v>420</v>
      </c>
      <c r="C367">
        <v>3</v>
      </c>
    </row>
    <row r="368" spans="1:3" x14ac:dyDescent="0.25">
      <c r="A368">
        <v>453</v>
      </c>
      <c r="B368" t="s">
        <v>421</v>
      </c>
      <c r="C368">
        <v>3</v>
      </c>
    </row>
    <row r="369" spans="1:3" x14ac:dyDescent="0.25">
      <c r="A369">
        <v>454</v>
      </c>
      <c r="B369" t="s">
        <v>422</v>
      </c>
      <c r="C369">
        <v>3</v>
      </c>
    </row>
    <row r="370" spans="1:3" x14ac:dyDescent="0.25">
      <c r="A370">
        <v>456</v>
      </c>
      <c r="B370" t="s">
        <v>423</v>
      </c>
      <c r="C370">
        <v>3</v>
      </c>
    </row>
    <row r="371" spans="1:3" x14ac:dyDescent="0.25">
      <c r="A371">
        <v>457</v>
      </c>
      <c r="B371" t="s">
        <v>424</v>
      </c>
      <c r="C371">
        <v>3</v>
      </c>
    </row>
    <row r="372" spans="1:3" x14ac:dyDescent="0.25">
      <c r="A372">
        <v>459</v>
      </c>
      <c r="B372" t="s">
        <v>425</v>
      </c>
      <c r="C372">
        <v>3</v>
      </c>
    </row>
    <row r="373" spans="1:3" x14ac:dyDescent="0.25">
      <c r="A373">
        <v>460</v>
      </c>
      <c r="B373" t="s">
        <v>426</v>
      </c>
      <c r="C373">
        <v>3</v>
      </c>
    </row>
    <row r="374" spans="1:3" x14ac:dyDescent="0.25">
      <c r="A374">
        <v>461</v>
      </c>
      <c r="B374" t="s">
        <v>427</v>
      </c>
      <c r="C374">
        <v>3</v>
      </c>
    </row>
    <row r="375" spans="1:3" x14ac:dyDescent="0.25">
      <c r="A375">
        <v>462</v>
      </c>
      <c r="B375" t="s">
        <v>428</v>
      </c>
      <c r="C375">
        <v>3</v>
      </c>
    </row>
    <row r="376" spans="1:3" x14ac:dyDescent="0.25">
      <c r="A376">
        <v>463</v>
      </c>
      <c r="B376" t="s">
        <v>701</v>
      </c>
      <c r="C376">
        <v>3</v>
      </c>
    </row>
    <row r="377" spans="1:3" x14ac:dyDescent="0.25">
      <c r="A377">
        <v>464</v>
      </c>
      <c r="B377" t="s">
        <v>429</v>
      </c>
      <c r="C377">
        <v>3</v>
      </c>
    </row>
    <row r="378" spans="1:3" x14ac:dyDescent="0.25">
      <c r="A378">
        <v>465</v>
      </c>
      <c r="B378" t="s">
        <v>430</v>
      </c>
      <c r="C378">
        <v>3</v>
      </c>
    </row>
    <row r="379" spans="1:3" x14ac:dyDescent="0.25">
      <c r="A379">
        <v>468</v>
      </c>
      <c r="B379" t="s">
        <v>431</v>
      </c>
      <c r="C379">
        <v>3</v>
      </c>
    </row>
    <row r="380" spans="1:3" x14ac:dyDescent="0.25">
      <c r="A380">
        <v>473</v>
      </c>
      <c r="B380" t="s">
        <v>433</v>
      </c>
      <c r="C380">
        <v>3</v>
      </c>
    </row>
    <row r="381" spans="1:3" x14ac:dyDescent="0.25">
      <c r="A381">
        <v>474</v>
      </c>
      <c r="B381" t="s">
        <v>434</v>
      </c>
      <c r="C381">
        <v>3</v>
      </c>
    </row>
    <row r="382" spans="1:3" x14ac:dyDescent="0.25">
      <c r="A382">
        <v>476</v>
      </c>
      <c r="B382" t="s">
        <v>435</v>
      </c>
      <c r="C382">
        <v>3</v>
      </c>
    </row>
    <row r="383" spans="1:3" x14ac:dyDescent="0.25">
      <c r="A383">
        <v>477</v>
      </c>
      <c r="B383" t="s">
        <v>436</v>
      </c>
      <c r="C383">
        <v>3</v>
      </c>
    </row>
    <row r="384" spans="1:3" x14ac:dyDescent="0.25">
      <c r="A384">
        <v>478</v>
      </c>
      <c r="B384" t="s">
        <v>437</v>
      </c>
      <c r="C384">
        <v>3</v>
      </c>
    </row>
    <row r="385" spans="1:3" x14ac:dyDescent="0.25">
      <c r="A385">
        <v>495</v>
      </c>
      <c r="B385" t="s">
        <v>438</v>
      </c>
      <c r="C385">
        <v>3</v>
      </c>
    </row>
    <row r="386" spans="1:3" x14ac:dyDescent="0.25">
      <c r="A386">
        <v>496</v>
      </c>
      <c r="B386" t="s">
        <v>439</v>
      </c>
      <c r="C386">
        <v>3</v>
      </c>
    </row>
    <row r="387" spans="1:3" x14ac:dyDescent="0.25">
      <c r="A387">
        <v>497</v>
      </c>
      <c r="B387" t="s">
        <v>440</v>
      </c>
      <c r="C387">
        <v>3</v>
      </c>
    </row>
    <row r="388" spans="1:3" x14ac:dyDescent="0.25">
      <c r="A388">
        <v>498</v>
      </c>
      <c r="B388" t="s">
        <v>441</v>
      </c>
      <c r="C388">
        <v>3</v>
      </c>
    </row>
    <row r="389" spans="1:3" x14ac:dyDescent="0.25">
      <c r="A389">
        <v>499</v>
      </c>
      <c r="B389" t="s">
        <v>442</v>
      </c>
      <c r="C389">
        <v>3</v>
      </c>
    </row>
    <row r="390" spans="1:3" x14ac:dyDescent="0.25">
      <c r="A390">
        <v>500</v>
      </c>
      <c r="B390" t="s">
        <v>443</v>
      </c>
      <c r="C390">
        <v>3</v>
      </c>
    </row>
    <row r="391" spans="1:3" x14ac:dyDescent="0.25">
      <c r="A391">
        <v>501</v>
      </c>
      <c r="B391" t="s">
        <v>444</v>
      </c>
      <c r="C391">
        <v>3</v>
      </c>
    </row>
    <row r="392" spans="1:3" x14ac:dyDescent="0.25">
      <c r="A392">
        <v>502</v>
      </c>
      <c r="B392" t="s">
        <v>445</v>
      </c>
      <c r="C392">
        <v>3</v>
      </c>
    </row>
    <row r="393" spans="1:3" x14ac:dyDescent="0.25">
      <c r="A393">
        <v>503</v>
      </c>
      <c r="B393" t="s">
        <v>446</v>
      </c>
      <c r="C393">
        <v>3</v>
      </c>
    </row>
    <row r="394" spans="1:3" x14ac:dyDescent="0.25">
      <c r="A394">
        <v>511</v>
      </c>
      <c r="B394" t="s">
        <v>447</v>
      </c>
      <c r="C394">
        <v>3</v>
      </c>
    </row>
    <row r="395" spans="1:3" x14ac:dyDescent="0.25">
      <c r="A395">
        <v>512</v>
      </c>
      <c r="B395" t="s">
        <v>448</v>
      </c>
      <c r="C395">
        <v>3</v>
      </c>
    </row>
    <row r="396" spans="1:3" x14ac:dyDescent="0.25">
      <c r="A396">
        <v>513</v>
      </c>
      <c r="B396" t="s">
        <v>449</v>
      </c>
      <c r="C396">
        <v>3</v>
      </c>
    </row>
    <row r="397" spans="1:3" x14ac:dyDescent="0.25">
      <c r="A397">
        <v>514</v>
      </c>
      <c r="B397" t="s">
        <v>450</v>
      </c>
      <c r="C397">
        <v>3</v>
      </c>
    </row>
    <row r="398" spans="1:3" x14ac:dyDescent="0.25">
      <c r="A398">
        <v>515</v>
      </c>
      <c r="B398" t="s">
        <v>451</v>
      </c>
      <c r="C398">
        <v>3</v>
      </c>
    </row>
    <row r="399" spans="1:3" x14ac:dyDescent="0.25">
      <c r="A399">
        <v>516</v>
      </c>
      <c r="B399" t="s">
        <v>452</v>
      </c>
      <c r="C399">
        <v>3</v>
      </c>
    </row>
    <row r="400" spans="1:3" x14ac:dyDescent="0.25">
      <c r="A400">
        <v>517</v>
      </c>
      <c r="B400" t="s">
        <v>702</v>
      </c>
      <c r="C400">
        <v>3</v>
      </c>
    </row>
    <row r="401" spans="1:3" x14ac:dyDescent="0.25">
      <c r="A401">
        <v>518</v>
      </c>
      <c r="B401" t="s">
        <v>703</v>
      </c>
      <c r="C401">
        <v>3</v>
      </c>
    </row>
    <row r="402" spans="1:3" x14ac:dyDescent="0.25">
      <c r="A402">
        <v>522</v>
      </c>
      <c r="B402" t="s">
        <v>453</v>
      </c>
      <c r="C402">
        <v>3</v>
      </c>
    </row>
    <row r="403" spans="1:3" x14ac:dyDescent="0.25">
      <c r="A403">
        <v>523</v>
      </c>
      <c r="B403" t="s">
        <v>454</v>
      </c>
      <c r="C403">
        <v>3</v>
      </c>
    </row>
    <row r="404" spans="1:3" x14ac:dyDescent="0.25">
      <c r="A404">
        <v>524</v>
      </c>
      <c r="B404" t="s">
        <v>455</v>
      </c>
      <c r="C404">
        <v>3</v>
      </c>
    </row>
    <row r="405" spans="1:3" x14ac:dyDescent="0.25">
      <c r="A405">
        <v>525</v>
      </c>
      <c r="B405" t="s">
        <v>456</v>
      </c>
      <c r="C405">
        <v>3</v>
      </c>
    </row>
    <row r="406" spans="1:3" x14ac:dyDescent="0.25">
      <c r="A406">
        <v>526</v>
      </c>
      <c r="B406" t="s">
        <v>457</v>
      </c>
      <c r="C406">
        <v>3</v>
      </c>
    </row>
    <row r="407" spans="1:3" x14ac:dyDescent="0.25">
      <c r="A407">
        <v>529</v>
      </c>
      <c r="B407" t="s">
        <v>458</v>
      </c>
      <c r="C407">
        <v>3</v>
      </c>
    </row>
    <row r="408" spans="1:3" x14ac:dyDescent="0.25">
      <c r="A408">
        <v>530</v>
      </c>
      <c r="B408" t="s">
        <v>459</v>
      </c>
      <c r="C408">
        <v>3</v>
      </c>
    </row>
    <row r="409" spans="1:3" x14ac:dyDescent="0.25">
      <c r="A409">
        <v>531</v>
      </c>
      <c r="B409" t="s">
        <v>596</v>
      </c>
      <c r="C409">
        <v>3</v>
      </c>
    </row>
    <row r="410" spans="1:3" x14ac:dyDescent="0.25">
      <c r="A410">
        <v>535</v>
      </c>
      <c r="B410" t="s">
        <v>460</v>
      </c>
      <c r="C410">
        <v>3</v>
      </c>
    </row>
    <row r="411" spans="1:3" x14ac:dyDescent="0.25">
      <c r="A411">
        <v>536</v>
      </c>
      <c r="B411" t="s">
        <v>461</v>
      </c>
      <c r="C411">
        <v>3</v>
      </c>
    </row>
    <row r="412" spans="1:3" x14ac:dyDescent="0.25">
      <c r="A412">
        <v>537</v>
      </c>
      <c r="B412" t="s">
        <v>462</v>
      </c>
      <c r="C412">
        <v>3</v>
      </c>
    </row>
    <row r="413" spans="1:3" x14ac:dyDescent="0.25">
      <c r="A413">
        <v>554</v>
      </c>
      <c r="B413" t="s">
        <v>463</v>
      </c>
      <c r="C413">
        <v>3</v>
      </c>
    </row>
    <row r="414" spans="1:3" x14ac:dyDescent="0.25">
      <c r="A414">
        <v>555</v>
      </c>
      <c r="B414" t="s">
        <v>464</v>
      </c>
      <c r="C414">
        <v>3</v>
      </c>
    </row>
    <row r="415" spans="1:3" x14ac:dyDescent="0.25">
      <c r="A415">
        <v>559</v>
      </c>
      <c r="B415" t="s">
        <v>465</v>
      </c>
      <c r="C415">
        <v>3</v>
      </c>
    </row>
    <row r="416" spans="1:3" x14ac:dyDescent="0.25">
      <c r="A416">
        <v>560</v>
      </c>
      <c r="B416" t="s">
        <v>466</v>
      </c>
      <c r="C416">
        <v>3</v>
      </c>
    </row>
    <row r="417" spans="1:3" x14ac:dyDescent="0.25">
      <c r="A417">
        <v>562</v>
      </c>
      <c r="B417" t="s">
        <v>467</v>
      </c>
      <c r="C417">
        <v>3</v>
      </c>
    </row>
    <row r="418" spans="1:3" x14ac:dyDescent="0.25">
      <c r="A418">
        <v>563</v>
      </c>
      <c r="B418" t="s">
        <v>468</v>
      </c>
      <c r="C418">
        <v>3</v>
      </c>
    </row>
    <row r="419" spans="1:3" x14ac:dyDescent="0.25">
      <c r="A419">
        <v>568</v>
      </c>
      <c r="B419" t="s">
        <v>469</v>
      </c>
      <c r="C419">
        <v>3</v>
      </c>
    </row>
    <row r="420" spans="1:3" x14ac:dyDescent="0.25">
      <c r="A420">
        <v>569</v>
      </c>
      <c r="B420" t="s">
        <v>470</v>
      </c>
      <c r="C420">
        <v>3</v>
      </c>
    </row>
    <row r="421" spans="1:3" x14ac:dyDescent="0.25">
      <c r="A421">
        <v>572</v>
      </c>
      <c r="B421" t="s">
        <v>471</v>
      </c>
      <c r="C421">
        <v>3</v>
      </c>
    </row>
    <row r="422" spans="1:3" x14ac:dyDescent="0.25">
      <c r="A422">
        <v>573</v>
      </c>
      <c r="B422" t="s">
        <v>472</v>
      </c>
      <c r="C422">
        <v>3</v>
      </c>
    </row>
    <row r="423" spans="1:3" x14ac:dyDescent="0.25">
      <c r="A423">
        <v>574</v>
      </c>
      <c r="B423" t="s">
        <v>704</v>
      </c>
      <c r="C423">
        <v>3</v>
      </c>
    </row>
    <row r="424" spans="1:3" x14ac:dyDescent="0.25">
      <c r="A424">
        <v>575</v>
      </c>
      <c r="B424" t="s">
        <v>705</v>
      </c>
      <c r="C424">
        <v>3</v>
      </c>
    </row>
    <row r="425" spans="1:3" x14ac:dyDescent="0.25">
      <c r="A425">
        <v>576</v>
      </c>
      <c r="B425" t="s">
        <v>706</v>
      </c>
      <c r="C425">
        <v>3</v>
      </c>
    </row>
    <row r="426" spans="1:3" x14ac:dyDescent="0.25">
      <c r="A426">
        <v>577</v>
      </c>
      <c r="B426" t="s">
        <v>647</v>
      </c>
      <c r="C426">
        <v>3</v>
      </c>
    </row>
    <row r="427" spans="1:3" x14ac:dyDescent="0.25">
      <c r="A427">
        <v>578</v>
      </c>
      <c r="B427" t="s">
        <v>707</v>
      </c>
      <c r="C427">
        <v>3</v>
      </c>
    </row>
    <row r="428" spans="1:3" x14ac:dyDescent="0.25">
      <c r="A428">
        <v>579</v>
      </c>
      <c r="B428" t="s">
        <v>708</v>
      </c>
      <c r="C428">
        <v>3</v>
      </c>
    </row>
    <row r="429" spans="1:3" x14ac:dyDescent="0.25">
      <c r="A429">
        <v>580</v>
      </c>
      <c r="B429" t="s">
        <v>709</v>
      </c>
      <c r="C429">
        <v>3</v>
      </c>
    </row>
    <row r="430" spans="1:3" x14ac:dyDescent="0.25">
      <c r="A430">
        <v>581</v>
      </c>
      <c r="B430" t="s">
        <v>710</v>
      </c>
      <c r="C430">
        <v>3</v>
      </c>
    </row>
    <row r="431" spans="1:3" x14ac:dyDescent="0.25">
      <c r="A431">
        <v>582</v>
      </c>
      <c r="B431" t="s">
        <v>711</v>
      </c>
      <c r="C431">
        <v>3</v>
      </c>
    </row>
    <row r="432" spans="1:3" x14ac:dyDescent="0.25">
      <c r="A432">
        <v>583</v>
      </c>
      <c r="B432" t="s">
        <v>712</v>
      </c>
      <c r="C432">
        <v>3</v>
      </c>
    </row>
    <row r="433" spans="1:3" x14ac:dyDescent="0.25">
      <c r="A433">
        <v>584</v>
      </c>
      <c r="B433" t="s">
        <v>713</v>
      </c>
      <c r="C433">
        <v>3</v>
      </c>
    </row>
    <row r="434" spans="1:3" x14ac:dyDescent="0.25">
      <c r="A434">
        <v>585</v>
      </c>
      <c r="B434" t="s">
        <v>714</v>
      </c>
      <c r="C434">
        <v>3</v>
      </c>
    </row>
    <row r="435" spans="1:3" x14ac:dyDescent="0.25">
      <c r="A435">
        <v>586</v>
      </c>
      <c r="B435" t="s">
        <v>715</v>
      </c>
      <c r="C435">
        <v>3</v>
      </c>
    </row>
    <row r="436" spans="1:3" x14ac:dyDescent="0.25">
      <c r="A436">
        <v>588</v>
      </c>
      <c r="B436" t="s">
        <v>473</v>
      </c>
      <c r="C436">
        <v>3</v>
      </c>
    </row>
    <row r="437" spans="1:3" x14ac:dyDescent="0.25">
      <c r="A437">
        <v>589</v>
      </c>
      <c r="B437" t="s">
        <v>474</v>
      </c>
      <c r="C437">
        <v>3</v>
      </c>
    </row>
    <row r="438" spans="1:3" x14ac:dyDescent="0.25">
      <c r="A438">
        <v>590</v>
      </c>
      <c r="B438" t="s">
        <v>475</v>
      </c>
      <c r="C438">
        <v>3</v>
      </c>
    </row>
    <row r="439" spans="1:3" x14ac:dyDescent="0.25">
      <c r="A439">
        <v>591</v>
      </c>
      <c r="B439" t="s">
        <v>476</v>
      </c>
      <c r="C439">
        <v>3</v>
      </c>
    </row>
    <row r="440" spans="1:3" x14ac:dyDescent="0.25">
      <c r="A440">
        <v>592</v>
      </c>
      <c r="B440" t="s">
        <v>716</v>
      </c>
      <c r="C440">
        <v>3</v>
      </c>
    </row>
    <row r="441" spans="1:3" x14ac:dyDescent="0.25">
      <c r="A441">
        <v>593</v>
      </c>
      <c r="B441" t="s">
        <v>717</v>
      </c>
      <c r="C441">
        <v>3</v>
      </c>
    </row>
    <row r="442" spans="1:3" x14ac:dyDescent="0.25">
      <c r="A442">
        <v>595</v>
      </c>
      <c r="B442" t="s">
        <v>477</v>
      </c>
      <c r="C442">
        <v>3</v>
      </c>
    </row>
    <row r="443" spans="1:3" x14ac:dyDescent="0.25">
      <c r="A443">
        <v>596</v>
      </c>
      <c r="B443" t="s">
        <v>478</v>
      </c>
      <c r="C443">
        <v>3</v>
      </c>
    </row>
    <row r="444" spans="1:3" x14ac:dyDescent="0.25">
      <c r="A444">
        <v>597</v>
      </c>
      <c r="B444" t="s">
        <v>479</v>
      </c>
      <c r="C444">
        <v>3</v>
      </c>
    </row>
    <row r="445" spans="1:3" x14ac:dyDescent="0.25">
      <c r="A445">
        <v>598</v>
      </c>
      <c r="B445" t="s">
        <v>480</v>
      </c>
      <c r="C445">
        <v>3</v>
      </c>
    </row>
    <row r="446" spans="1:3" x14ac:dyDescent="0.25">
      <c r="A446">
        <v>605</v>
      </c>
      <c r="B446" t="s">
        <v>718</v>
      </c>
      <c r="C446">
        <v>3</v>
      </c>
    </row>
    <row r="447" spans="1:3" x14ac:dyDescent="0.25">
      <c r="A447">
        <v>606</v>
      </c>
      <c r="B447" t="s">
        <v>719</v>
      </c>
      <c r="C447">
        <v>3</v>
      </c>
    </row>
    <row r="448" spans="1:3" x14ac:dyDescent="0.25">
      <c r="A448">
        <v>613</v>
      </c>
      <c r="B448" t="s">
        <v>481</v>
      </c>
      <c r="C448">
        <v>3</v>
      </c>
    </row>
    <row r="449" spans="1:3" x14ac:dyDescent="0.25">
      <c r="A449">
        <v>614</v>
      </c>
      <c r="B449" t="s">
        <v>482</v>
      </c>
      <c r="C449">
        <v>3</v>
      </c>
    </row>
    <row r="450" spans="1:3" x14ac:dyDescent="0.25">
      <c r="A450">
        <v>616</v>
      </c>
      <c r="B450" t="s">
        <v>483</v>
      </c>
      <c r="C450">
        <v>3</v>
      </c>
    </row>
    <row r="451" spans="1:3" x14ac:dyDescent="0.25">
      <c r="A451">
        <v>617</v>
      </c>
      <c r="B451" t="s">
        <v>484</v>
      </c>
      <c r="C451">
        <v>3</v>
      </c>
    </row>
    <row r="452" spans="1:3" x14ac:dyDescent="0.25">
      <c r="A452">
        <v>619</v>
      </c>
      <c r="B452" t="s">
        <v>720</v>
      </c>
      <c r="C452">
        <v>3</v>
      </c>
    </row>
    <row r="453" spans="1:3" x14ac:dyDescent="0.25">
      <c r="A453">
        <v>620</v>
      </c>
      <c r="B453" t="s">
        <v>721</v>
      </c>
      <c r="C453">
        <v>3</v>
      </c>
    </row>
    <row r="454" spans="1:3" x14ac:dyDescent="0.25">
      <c r="A454">
        <v>626</v>
      </c>
      <c r="B454" t="s">
        <v>722</v>
      </c>
      <c r="C454">
        <v>3</v>
      </c>
    </row>
    <row r="455" spans="1:3" x14ac:dyDescent="0.25">
      <c r="A455">
        <v>631</v>
      </c>
      <c r="B455" t="s">
        <v>485</v>
      </c>
      <c r="C455">
        <v>3</v>
      </c>
    </row>
    <row r="456" spans="1:3" x14ac:dyDescent="0.25">
      <c r="A456">
        <v>632</v>
      </c>
      <c r="B456" t="s">
        <v>486</v>
      </c>
      <c r="C456">
        <v>3</v>
      </c>
    </row>
    <row r="457" spans="1:3" x14ac:dyDescent="0.25">
      <c r="A457">
        <v>95</v>
      </c>
      <c r="B457" t="s">
        <v>487</v>
      </c>
      <c r="C457">
        <v>5</v>
      </c>
    </row>
    <row r="458" spans="1:3" x14ac:dyDescent="0.25">
      <c r="A458">
        <v>106</v>
      </c>
      <c r="B458" t="s">
        <v>488</v>
      </c>
      <c r="C458">
        <v>5</v>
      </c>
    </row>
    <row r="459" spans="1:3" x14ac:dyDescent="0.25">
      <c r="A459">
        <v>107</v>
      </c>
      <c r="B459" t="s">
        <v>489</v>
      </c>
      <c r="C459">
        <v>5</v>
      </c>
    </row>
    <row r="460" spans="1:3" x14ac:dyDescent="0.25">
      <c r="A460">
        <v>113</v>
      </c>
      <c r="B460" t="s">
        <v>490</v>
      </c>
      <c r="C460">
        <v>5</v>
      </c>
    </row>
    <row r="461" spans="1:3" x14ac:dyDescent="0.25">
      <c r="A461">
        <v>122</v>
      </c>
      <c r="B461" t="s">
        <v>491</v>
      </c>
      <c r="C461">
        <v>5</v>
      </c>
    </row>
    <row r="462" spans="1:3" x14ac:dyDescent="0.25">
      <c r="A462">
        <v>123</v>
      </c>
      <c r="B462" t="s">
        <v>492</v>
      </c>
      <c r="C462">
        <v>5</v>
      </c>
    </row>
    <row r="463" spans="1:3" x14ac:dyDescent="0.25">
      <c r="A463">
        <v>124</v>
      </c>
      <c r="B463" t="s">
        <v>493</v>
      </c>
      <c r="C463">
        <v>5</v>
      </c>
    </row>
    <row r="464" spans="1:3" x14ac:dyDescent="0.25">
      <c r="A464">
        <v>125</v>
      </c>
      <c r="B464" t="s">
        <v>494</v>
      </c>
      <c r="C464">
        <v>5</v>
      </c>
    </row>
    <row r="465" spans="1:3" x14ac:dyDescent="0.25">
      <c r="A465">
        <v>126</v>
      </c>
      <c r="B465" t="s">
        <v>495</v>
      </c>
      <c r="C465">
        <v>5</v>
      </c>
    </row>
    <row r="466" spans="1:3" x14ac:dyDescent="0.25">
      <c r="A466">
        <v>127</v>
      </c>
      <c r="B466" t="s">
        <v>496</v>
      </c>
      <c r="C466">
        <v>5</v>
      </c>
    </row>
    <row r="467" spans="1:3" x14ac:dyDescent="0.25">
      <c r="A467">
        <v>131</v>
      </c>
      <c r="B467" t="s">
        <v>497</v>
      </c>
      <c r="C467">
        <v>5</v>
      </c>
    </row>
    <row r="468" spans="1:3" x14ac:dyDescent="0.25">
      <c r="A468">
        <v>133</v>
      </c>
      <c r="B468" t="s">
        <v>498</v>
      </c>
      <c r="C468">
        <v>5</v>
      </c>
    </row>
    <row r="469" spans="1:3" x14ac:dyDescent="0.25">
      <c r="A469">
        <v>134</v>
      </c>
      <c r="B469" t="s">
        <v>499</v>
      </c>
      <c r="C469">
        <v>5</v>
      </c>
    </row>
    <row r="470" spans="1:3" x14ac:dyDescent="0.25">
      <c r="A470">
        <v>135</v>
      </c>
      <c r="B470" t="s">
        <v>500</v>
      </c>
      <c r="C470">
        <v>5</v>
      </c>
    </row>
    <row r="471" spans="1:3" x14ac:dyDescent="0.25">
      <c r="A471">
        <v>136</v>
      </c>
      <c r="B471" t="s">
        <v>501</v>
      </c>
      <c r="C471">
        <v>5</v>
      </c>
    </row>
    <row r="472" spans="1:3" x14ac:dyDescent="0.25">
      <c r="A472">
        <v>138</v>
      </c>
      <c r="B472" t="s">
        <v>502</v>
      </c>
      <c r="C472">
        <v>5</v>
      </c>
    </row>
    <row r="473" spans="1:3" x14ac:dyDescent="0.25">
      <c r="A473">
        <v>139</v>
      </c>
      <c r="B473" t="s">
        <v>503</v>
      </c>
      <c r="C473">
        <v>5</v>
      </c>
    </row>
    <row r="474" spans="1:3" x14ac:dyDescent="0.25">
      <c r="A474">
        <v>140</v>
      </c>
      <c r="B474" t="s">
        <v>504</v>
      </c>
      <c r="C474">
        <v>5</v>
      </c>
    </row>
    <row r="475" spans="1:3" x14ac:dyDescent="0.25">
      <c r="A475">
        <v>141</v>
      </c>
      <c r="B475" t="s">
        <v>505</v>
      </c>
      <c r="C475">
        <v>5</v>
      </c>
    </row>
    <row r="476" spans="1:3" x14ac:dyDescent="0.25">
      <c r="A476">
        <v>142</v>
      </c>
      <c r="B476" t="s">
        <v>506</v>
      </c>
      <c r="C476">
        <v>5</v>
      </c>
    </row>
    <row r="477" spans="1:3" x14ac:dyDescent="0.25">
      <c r="A477">
        <v>143</v>
      </c>
      <c r="B477" t="s">
        <v>507</v>
      </c>
      <c r="C477">
        <v>5</v>
      </c>
    </row>
    <row r="478" spans="1:3" x14ac:dyDescent="0.25">
      <c r="A478">
        <v>147</v>
      </c>
      <c r="B478" t="s">
        <v>508</v>
      </c>
      <c r="C478">
        <v>5</v>
      </c>
    </row>
    <row r="479" spans="1:3" x14ac:dyDescent="0.25">
      <c r="A479">
        <v>148</v>
      </c>
      <c r="B479" t="s">
        <v>509</v>
      </c>
      <c r="C479">
        <v>5</v>
      </c>
    </row>
    <row r="480" spans="1:3" x14ac:dyDescent="0.25">
      <c r="A480">
        <v>149</v>
      </c>
      <c r="B480" t="s">
        <v>510</v>
      </c>
      <c r="C480">
        <v>5</v>
      </c>
    </row>
    <row r="481" spans="1:3" x14ac:dyDescent="0.25">
      <c r="A481">
        <v>179</v>
      </c>
      <c r="B481" t="s">
        <v>514</v>
      </c>
      <c r="C481">
        <v>5</v>
      </c>
    </row>
    <row r="482" spans="1:3" x14ac:dyDescent="0.25">
      <c r="A482">
        <v>180</v>
      </c>
      <c r="B482" t="s">
        <v>515</v>
      </c>
      <c r="C482">
        <v>5</v>
      </c>
    </row>
    <row r="483" spans="1:3" x14ac:dyDescent="0.25">
      <c r="A483">
        <v>181</v>
      </c>
      <c r="B483" t="s">
        <v>516</v>
      </c>
      <c r="C483">
        <v>5</v>
      </c>
    </row>
    <row r="484" spans="1:3" x14ac:dyDescent="0.25">
      <c r="A484">
        <v>185</v>
      </c>
      <c r="B484" t="s">
        <v>517</v>
      </c>
      <c r="C484">
        <v>5</v>
      </c>
    </row>
    <row r="485" spans="1:3" x14ac:dyDescent="0.25">
      <c r="A485">
        <v>196</v>
      </c>
      <c r="B485" t="s">
        <v>518</v>
      </c>
      <c r="C485">
        <v>5</v>
      </c>
    </row>
    <row r="486" spans="1:3" x14ac:dyDescent="0.25">
      <c r="A486">
        <v>197</v>
      </c>
      <c r="B486" t="s">
        <v>519</v>
      </c>
      <c r="C486">
        <v>5</v>
      </c>
    </row>
    <row r="487" spans="1:3" x14ac:dyDescent="0.25">
      <c r="A487">
        <v>204</v>
      </c>
      <c r="B487" t="s">
        <v>521</v>
      </c>
      <c r="C487">
        <v>5</v>
      </c>
    </row>
    <row r="488" spans="1:3" x14ac:dyDescent="0.25">
      <c r="A488">
        <v>205</v>
      </c>
      <c r="B488" t="s">
        <v>522</v>
      </c>
      <c r="C488">
        <v>5</v>
      </c>
    </row>
    <row r="489" spans="1:3" x14ac:dyDescent="0.25">
      <c r="A489">
        <v>207</v>
      </c>
      <c r="B489" t="s">
        <v>523</v>
      </c>
      <c r="C489">
        <v>5</v>
      </c>
    </row>
    <row r="490" spans="1:3" x14ac:dyDescent="0.25">
      <c r="A490">
        <v>208</v>
      </c>
      <c r="B490" t="s">
        <v>524</v>
      </c>
      <c r="C490">
        <v>5</v>
      </c>
    </row>
    <row r="491" spans="1:3" x14ac:dyDescent="0.25">
      <c r="A491">
        <v>212</v>
      </c>
      <c r="B491" t="s">
        <v>525</v>
      </c>
      <c r="C491">
        <v>5</v>
      </c>
    </row>
    <row r="492" spans="1:3" x14ac:dyDescent="0.25">
      <c r="A492">
        <v>226</v>
      </c>
      <c r="B492" t="s">
        <v>527</v>
      </c>
      <c r="C492">
        <v>5</v>
      </c>
    </row>
    <row r="493" spans="1:3" x14ac:dyDescent="0.25">
      <c r="A493">
        <v>236</v>
      </c>
      <c r="B493" t="s">
        <v>530</v>
      </c>
      <c r="C493">
        <v>5</v>
      </c>
    </row>
    <row r="494" spans="1:3" x14ac:dyDescent="0.25">
      <c r="A494">
        <v>237</v>
      </c>
      <c r="B494" t="s">
        <v>531</v>
      </c>
      <c r="C494">
        <v>5</v>
      </c>
    </row>
    <row r="495" spans="1:3" x14ac:dyDescent="0.25">
      <c r="A495">
        <v>239</v>
      </c>
      <c r="B495" t="s">
        <v>512</v>
      </c>
      <c r="C495">
        <v>5</v>
      </c>
    </row>
    <row r="496" spans="1:3" x14ac:dyDescent="0.25">
      <c r="A496">
        <v>240</v>
      </c>
      <c r="B496" t="s">
        <v>513</v>
      </c>
      <c r="C496">
        <v>5</v>
      </c>
    </row>
    <row r="497" spans="1:3" x14ac:dyDescent="0.25">
      <c r="A497">
        <v>242</v>
      </c>
      <c r="B497" t="s">
        <v>533</v>
      </c>
      <c r="C497">
        <v>5</v>
      </c>
    </row>
    <row r="498" spans="1:3" x14ac:dyDescent="0.25">
      <c r="A498">
        <v>246</v>
      </c>
      <c r="B498" t="s">
        <v>534</v>
      </c>
      <c r="C498">
        <v>5</v>
      </c>
    </row>
    <row r="499" spans="1:3" x14ac:dyDescent="0.25">
      <c r="A499">
        <v>247</v>
      </c>
      <c r="B499" t="s">
        <v>535</v>
      </c>
      <c r="C499">
        <v>5</v>
      </c>
    </row>
    <row r="500" spans="1:3" x14ac:dyDescent="0.25">
      <c r="A500">
        <v>248</v>
      </c>
      <c r="B500" t="s">
        <v>536</v>
      </c>
      <c r="C500">
        <v>5</v>
      </c>
    </row>
    <row r="501" spans="1:3" x14ac:dyDescent="0.25">
      <c r="A501">
        <v>280</v>
      </c>
      <c r="B501" t="s">
        <v>537</v>
      </c>
      <c r="C501">
        <v>5</v>
      </c>
    </row>
    <row r="502" spans="1:3" x14ac:dyDescent="0.25">
      <c r="A502">
        <v>281</v>
      </c>
      <c r="B502" t="s">
        <v>538</v>
      </c>
      <c r="C502">
        <v>5</v>
      </c>
    </row>
    <row r="503" spans="1:3" x14ac:dyDescent="0.25">
      <c r="A503">
        <v>282</v>
      </c>
      <c r="B503" t="s">
        <v>539</v>
      </c>
      <c r="C503">
        <v>5</v>
      </c>
    </row>
    <row r="504" spans="1:3" x14ac:dyDescent="0.25">
      <c r="A504">
        <v>287</v>
      </c>
      <c r="B504" t="s">
        <v>540</v>
      </c>
      <c r="C504">
        <v>5</v>
      </c>
    </row>
    <row r="505" spans="1:3" x14ac:dyDescent="0.25">
      <c r="A505">
        <v>288</v>
      </c>
      <c r="B505" t="s">
        <v>541</v>
      </c>
      <c r="C505">
        <v>5</v>
      </c>
    </row>
    <row r="506" spans="1:3" x14ac:dyDescent="0.25">
      <c r="A506">
        <v>289</v>
      </c>
      <c r="B506" t="s">
        <v>542</v>
      </c>
      <c r="C506">
        <v>5</v>
      </c>
    </row>
    <row r="507" spans="1:3" x14ac:dyDescent="0.25">
      <c r="A507">
        <v>290</v>
      </c>
      <c r="B507" t="s">
        <v>543</v>
      </c>
      <c r="C507">
        <v>5</v>
      </c>
    </row>
    <row r="508" spans="1:3" x14ac:dyDescent="0.25">
      <c r="A508">
        <v>291</v>
      </c>
      <c r="B508" t="s">
        <v>544</v>
      </c>
      <c r="C508">
        <v>5</v>
      </c>
    </row>
    <row r="509" spans="1:3" x14ac:dyDescent="0.25">
      <c r="A509">
        <v>292</v>
      </c>
      <c r="B509" t="s">
        <v>545</v>
      </c>
      <c r="C509">
        <v>5</v>
      </c>
    </row>
    <row r="510" spans="1:3" x14ac:dyDescent="0.25">
      <c r="A510">
        <v>302</v>
      </c>
      <c r="B510" t="s">
        <v>546</v>
      </c>
      <c r="C510">
        <v>5</v>
      </c>
    </row>
    <row r="511" spans="1:3" x14ac:dyDescent="0.25">
      <c r="A511">
        <v>303</v>
      </c>
      <c r="B511" t="s">
        <v>547</v>
      </c>
      <c r="C511">
        <v>5</v>
      </c>
    </row>
    <row r="512" spans="1:3" x14ac:dyDescent="0.25">
      <c r="A512">
        <v>328</v>
      </c>
      <c r="B512" t="s">
        <v>548</v>
      </c>
      <c r="C512">
        <v>5</v>
      </c>
    </row>
    <row r="513" spans="1:3" x14ac:dyDescent="0.25">
      <c r="A513">
        <v>329</v>
      </c>
      <c r="B513" t="s">
        <v>549</v>
      </c>
      <c r="C513">
        <v>5</v>
      </c>
    </row>
    <row r="514" spans="1:3" x14ac:dyDescent="0.25">
      <c r="A514">
        <v>330</v>
      </c>
      <c r="B514" t="s">
        <v>550</v>
      </c>
      <c r="C514">
        <v>5</v>
      </c>
    </row>
    <row r="515" spans="1:3" x14ac:dyDescent="0.25">
      <c r="A515">
        <v>349</v>
      </c>
      <c r="B515" t="s">
        <v>551</v>
      </c>
      <c r="C515">
        <v>5</v>
      </c>
    </row>
    <row r="516" spans="1:3" x14ac:dyDescent="0.25">
      <c r="A516">
        <v>350</v>
      </c>
      <c r="B516" t="s">
        <v>552</v>
      </c>
      <c r="C516">
        <v>5</v>
      </c>
    </row>
    <row r="517" spans="1:3" x14ac:dyDescent="0.25">
      <c r="A517">
        <v>351</v>
      </c>
      <c r="B517" t="s">
        <v>553</v>
      </c>
      <c r="C517">
        <v>5</v>
      </c>
    </row>
    <row r="518" spans="1:3" x14ac:dyDescent="0.25">
      <c r="A518">
        <v>352</v>
      </c>
      <c r="B518" t="s">
        <v>554</v>
      </c>
      <c r="C518">
        <v>5</v>
      </c>
    </row>
    <row r="519" spans="1:3" x14ac:dyDescent="0.25">
      <c r="A519">
        <v>357</v>
      </c>
      <c r="B519" t="s">
        <v>555</v>
      </c>
      <c r="C519">
        <v>5</v>
      </c>
    </row>
    <row r="520" spans="1:3" x14ac:dyDescent="0.25">
      <c r="A520">
        <v>358</v>
      </c>
      <c r="B520" t="s">
        <v>556</v>
      </c>
      <c r="C520">
        <v>5</v>
      </c>
    </row>
    <row r="521" spans="1:3" x14ac:dyDescent="0.25">
      <c r="A521">
        <v>359</v>
      </c>
      <c r="B521" t="s">
        <v>557</v>
      </c>
      <c r="C521">
        <v>5</v>
      </c>
    </row>
    <row r="522" spans="1:3" x14ac:dyDescent="0.25">
      <c r="A522">
        <v>369</v>
      </c>
      <c r="B522" t="s">
        <v>558</v>
      </c>
      <c r="C522">
        <v>5</v>
      </c>
    </row>
    <row r="523" spans="1:3" x14ac:dyDescent="0.25">
      <c r="A523">
        <v>371</v>
      </c>
      <c r="B523" t="s">
        <v>559</v>
      </c>
      <c r="C523">
        <v>5</v>
      </c>
    </row>
    <row r="524" spans="1:3" x14ac:dyDescent="0.25">
      <c r="A524">
        <v>372</v>
      </c>
      <c r="B524" t="s">
        <v>560</v>
      </c>
      <c r="C524">
        <v>5</v>
      </c>
    </row>
    <row r="525" spans="1:3" x14ac:dyDescent="0.25">
      <c r="A525">
        <v>373</v>
      </c>
      <c r="B525" t="s">
        <v>561</v>
      </c>
      <c r="C525">
        <v>5</v>
      </c>
    </row>
    <row r="526" spans="1:3" x14ac:dyDescent="0.25">
      <c r="A526">
        <v>374</v>
      </c>
      <c r="B526" t="s">
        <v>562</v>
      </c>
      <c r="C526">
        <v>5</v>
      </c>
    </row>
    <row r="527" spans="1:3" x14ac:dyDescent="0.25">
      <c r="A527">
        <v>375</v>
      </c>
      <c r="B527" t="s">
        <v>563</v>
      </c>
      <c r="C527">
        <v>5</v>
      </c>
    </row>
    <row r="528" spans="1:3" x14ac:dyDescent="0.25">
      <c r="A528">
        <v>376</v>
      </c>
      <c r="B528" t="s">
        <v>564</v>
      </c>
      <c r="C528">
        <v>5</v>
      </c>
    </row>
    <row r="529" spans="1:3" x14ac:dyDescent="0.25">
      <c r="A529">
        <v>403</v>
      </c>
      <c r="B529" t="s">
        <v>565</v>
      </c>
      <c r="C529">
        <v>5</v>
      </c>
    </row>
    <row r="530" spans="1:3" x14ac:dyDescent="0.25">
      <c r="A530">
        <v>404</v>
      </c>
      <c r="B530" t="s">
        <v>566</v>
      </c>
      <c r="C530">
        <v>5</v>
      </c>
    </row>
    <row r="531" spans="1:3" x14ac:dyDescent="0.25">
      <c r="A531">
        <v>405</v>
      </c>
      <c r="B531" t="s">
        <v>567</v>
      </c>
      <c r="C531">
        <v>5</v>
      </c>
    </row>
    <row r="532" spans="1:3" x14ac:dyDescent="0.25">
      <c r="A532">
        <v>408</v>
      </c>
      <c r="B532" t="s">
        <v>568</v>
      </c>
      <c r="C532">
        <v>5</v>
      </c>
    </row>
    <row r="533" spans="1:3" x14ac:dyDescent="0.25">
      <c r="A533">
        <v>409</v>
      </c>
      <c r="B533" t="s">
        <v>569</v>
      </c>
      <c r="C533">
        <v>5</v>
      </c>
    </row>
    <row r="534" spans="1:3" x14ac:dyDescent="0.25">
      <c r="A534">
        <v>410</v>
      </c>
      <c r="B534" t="s">
        <v>570</v>
      </c>
      <c r="C534">
        <v>5</v>
      </c>
    </row>
    <row r="535" spans="1:3" x14ac:dyDescent="0.25">
      <c r="A535">
        <v>411</v>
      </c>
      <c r="B535" t="s">
        <v>571</v>
      </c>
      <c r="C535">
        <v>5</v>
      </c>
    </row>
    <row r="536" spans="1:3" x14ac:dyDescent="0.25">
      <c r="A536">
        <v>417</v>
      </c>
      <c r="B536" t="s">
        <v>572</v>
      </c>
      <c r="C536">
        <v>5</v>
      </c>
    </row>
    <row r="537" spans="1:3" x14ac:dyDescent="0.25">
      <c r="A537">
        <v>425</v>
      </c>
      <c r="B537" t="s">
        <v>723</v>
      </c>
      <c r="C537">
        <v>5</v>
      </c>
    </row>
    <row r="538" spans="1:3" x14ac:dyDescent="0.25">
      <c r="A538">
        <v>426</v>
      </c>
      <c r="B538" t="s">
        <v>573</v>
      </c>
      <c r="C538">
        <v>5</v>
      </c>
    </row>
    <row r="539" spans="1:3" x14ac:dyDescent="0.25">
      <c r="A539">
        <v>433</v>
      </c>
      <c r="B539" t="s">
        <v>574</v>
      </c>
      <c r="C539">
        <v>5</v>
      </c>
    </row>
    <row r="540" spans="1:3" x14ac:dyDescent="0.25">
      <c r="A540">
        <v>438</v>
      </c>
      <c r="B540" t="s">
        <v>575</v>
      </c>
      <c r="C540">
        <v>5</v>
      </c>
    </row>
    <row r="541" spans="1:3" x14ac:dyDescent="0.25">
      <c r="A541">
        <v>439</v>
      </c>
      <c r="B541" t="s">
        <v>576</v>
      </c>
      <c r="C541">
        <v>5</v>
      </c>
    </row>
    <row r="542" spans="1:3" x14ac:dyDescent="0.25">
      <c r="A542">
        <v>440</v>
      </c>
      <c r="B542" t="s">
        <v>577</v>
      </c>
      <c r="C542">
        <v>5</v>
      </c>
    </row>
    <row r="543" spans="1:3" x14ac:dyDescent="0.25">
      <c r="A543">
        <v>441</v>
      </c>
      <c r="B543" t="s">
        <v>578</v>
      </c>
      <c r="C543">
        <v>5</v>
      </c>
    </row>
    <row r="544" spans="1:3" x14ac:dyDescent="0.25">
      <c r="A544">
        <v>442</v>
      </c>
      <c r="B544" t="s">
        <v>579</v>
      </c>
      <c r="C544">
        <v>5</v>
      </c>
    </row>
    <row r="545" spans="1:3" x14ac:dyDescent="0.25">
      <c r="A545">
        <v>443</v>
      </c>
      <c r="B545" t="s">
        <v>580</v>
      </c>
      <c r="C545">
        <v>5</v>
      </c>
    </row>
    <row r="546" spans="1:3" x14ac:dyDescent="0.25">
      <c r="A546">
        <v>444</v>
      </c>
      <c r="B546" t="s">
        <v>581</v>
      </c>
      <c r="C546">
        <v>5</v>
      </c>
    </row>
    <row r="547" spans="1:3" x14ac:dyDescent="0.25">
      <c r="A547">
        <v>445</v>
      </c>
      <c r="B547" t="s">
        <v>582</v>
      </c>
      <c r="C547">
        <v>5</v>
      </c>
    </row>
    <row r="548" spans="1:3" x14ac:dyDescent="0.25">
      <c r="A548">
        <v>446</v>
      </c>
      <c r="B548" t="s">
        <v>583</v>
      </c>
      <c r="C548">
        <v>5</v>
      </c>
    </row>
    <row r="549" spans="1:3" x14ac:dyDescent="0.25">
      <c r="A549">
        <v>447</v>
      </c>
      <c r="B549" t="s">
        <v>584</v>
      </c>
      <c r="C549">
        <v>5</v>
      </c>
    </row>
    <row r="550" spans="1:3" x14ac:dyDescent="0.25">
      <c r="A550">
        <v>448</v>
      </c>
      <c r="B550" t="s">
        <v>585</v>
      </c>
      <c r="C550">
        <v>5</v>
      </c>
    </row>
    <row r="551" spans="1:3" x14ac:dyDescent="0.25">
      <c r="A551">
        <v>451</v>
      </c>
      <c r="B551" t="s">
        <v>586</v>
      </c>
      <c r="C551">
        <v>5</v>
      </c>
    </row>
    <row r="552" spans="1:3" x14ac:dyDescent="0.25">
      <c r="A552">
        <v>452</v>
      </c>
      <c r="B552" t="s">
        <v>587</v>
      </c>
      <c r="C552">
        <v>5</v>
      </c>
    </row>
    <row r="553" spans="1:3" x14ac:dyDescent="0.25">
      <c r="A553">
        <v>455</v>
      </c>
      <c r="B553" t="s">
        <v>588</v>
      </c>
      <c r="C553">
        <v>5</v>
      </c>
    </row>
    <row r="554" spans="1:3" x14ac:dyDescent="0.25">
      <c r="A554">
        <v>458</v>
      </c>
      <c r="B554" t="s">
        <v>589</v>
      </c>
      <c r="C554">
        <v>5</v>
      </c>
    </row>
    <row r="555" spans="1:3" x14ac:dyDescent="0.25">
      <c r="A555">
        <v>466</v>
      </c>
      <c r="B555" t="s">
        <v>590</v>
      </c>
      <c r="C555">
        <v>5</v>
      </c>
    </row>
    <row r="556" spans="1:3" x14ac:dyDescent="0.25">
      <c r="A556">
        <v>467</v>
      </c>
      <c r="B556" t="s">
        <v>591</v>
      </c>
      <c r="C556">
        <v>5</v>
      </c>
    </row>
    <row r="557" spans="1:3" x14ac:dyDescent="0.25">
      <c r="A557">
        <v>470</v>
      </c>
      <c r="B557" t="s">
        <v>592</v>
      </c>
      <c r="C557">
        <v>5</v>
      </c>
    </row>
    <row r="558" spans="1:3" x14ac:dyDescent="0.25">
      <c r="A558">
        <v>471</v>
      </c>
      <c r="B558" t="s">
        <v>593</v>
      </c>
      <c r="C558">
        <v>5</v>
      </c>
    </row>
    <row r="559" spans="1:3" x14ac:dyDescent="0.25">
      <c r="A559">
        <v>472</v>
      </c>
      <c r="B559" t="s">
        <v>594</v>
      </c>
      <c r="C559">
        <v>5</v>
      </c>
    </row>
    <row r="560" spans="1:3" x14ac:dyDescent="0.25">
      <c r="A560">
        <v>475</v>
      </c>
      <c r="B560" t="s">
        <v>595</v>
      </c>
      <c r="C560">
        <v>5</v>
      </c>
    </row>
    <row r="561" spans="1:3" x14ac:dyDescent="0.25">
      <c r="A561">
        <v>479</v>
      </c>
      <c r="B561" t="s">
        <v>724</v>
      </c>
      <c r="C561">
        <v>5</v>
      </c>
    </row>
    <row r="562" spans="1:3" x14ac:dyDescent="0.25">
      <c r="A562">
        <v>532</v>
      </c>
      <c r="B562" t="s">
        <v>597</v>
      </c>
      <c r="C562">
        <v>5</v>
      </c>
    </row>
    <row r="563" spans="1:3" x14ac:dyDescent="0.25">
      <c r="A563">
        <v>533</v>
      </c>
      <c r="B563" t="s">
        <v>598</v>
      </c>
      <c r="C563">
        <v>5</v>
      </c>
    </row>
    <row r="564" spans="1:3" x14ac:dyDescent="0.25">
      <c r="A564">
        <v>534</v>
      </c>
      <c r="B564" t="s">
        <v>599</v>
      </c>
      <c r="C564">
        <v>5</v>
      </c>
    </row>
    <row r="565" spans="1:3" x14ac:dyDescent="0.25">
      <c r="A565">
        <v>538</v>
      </c>
      <c r="B565" t="s">
        <v>600</v>
      </c>
      <c r="C565">
        <v>5</v>
      </c>
    </row>
    <row r="566" spans="1:3" x14ac:dyDescent="0.25">
      <c r="A566">
        <v>539</v>
      </c>
      <c r="B566" t="s">
        <v>601</v>
      </c>
      <c r="C566">
        <v>5</v>
      </c>
    </row>
    <row r="567" spans="1:3" x14ac:dyDescent="0.25">
      <c r="A567">
        <v>551</v>
      </c>
      <c r="B567" t="s">
        <v>725</v>
      </c>
      <c r="C567">
        <v>5</v>
      </c>
    </row>
    <row r="568" spans="1:3" x14ac:dyDescent="0.25">
      <c r="A568">
        <v>552</v>
      </c>
      <c r="B568" t="s">
        <v>726</v>
      </c>
      <c r="C568">
        <v>5</v>
      </c>
    </row>
    <row r="569" spans="1:3" x14ac:dyDescent="0.25">
      <c r="A569">
        <v>553</v>
      </c>
      <c r="B569" t="s">
        <v>727</v>
      </c>
      <c r="C569">
        <v>5</v>
      </c>
    </row>
    <row r="570" spans="1:3" x14ac:dyDescent="0.25">
      <c r="A570">
        <v>561</v>
      </c>
      <c r="B570" t="s">
        <v>602</v>
      </c>
      <c r="C570">
        <v>5</v>
      </c>
    </row>
    <row r="571" spans="1:3" x14ac:dyDescent="0.25">
      <c r="A571">
        <v>564</v>
      </c>
      <c r="B571" t="s">
        <v>603</v>
      </c>
      <c r="C571">
        <v>5</v>
      </c>
    </row>
    <row r="572" spans="1:3" x14ac:dyDescent="0.25">
      <c r="A572">
        <v>565</v>
      </c>
      <c r="B572" t="s">
        <v>604</v>
      </c>
      <c r="C572">
        <v>5</v>
      </c>
    </row>
    <row r="573" spans="1:3" x14ac:dyDescent="0.25">
      <c r="A573">
        <v>566</v>
      </c>
      <c r="B573" t="s">
        <v>605</v>
      </c>
      <c r="C573">
        <v>5</v>
      </c>
    </row>
    <row r="574" spans="1:3" x14ac:dyDescent="0.25">
      <c r="A574">
        <v>567</v>
      </c>
      <c r="B574" t="s">
        <v>606</v>
      </c>
      <c r="C574">
        <v>5</v>
      </c>
    </row>
    <row r="575" spans="1:3" x14ac:dyDescent="0.25">
      <c r="A575">
        <v>570</v>
      </c>
      <c r="B575" t="s">
        <v>728</v>
      </c>
      <c r="C575">
        <v>5</v>
      </c>
    </row>
    <row r="576" spans="1:3" x14ac:dyDescent="0.25">
      <c r="A576">
        <v>571</v>
      </c>
      <c r="B576" t="s">
        <v>729</v>
      </c>
      <c r="C576">
        <v>5</v>
      </c>
    </row>
    <row r="577" spans="1:3" x14ac:dyDescent="0.25">
      <c r="A577">
        <v>594</v>
      </c>
      <c r="B577" t="s">
        <v>607</v>
      </c>
      <c r="C577">
        <v>5</v>
      </c>
    </row>
    <row r="578" spans="1:3" x14ac:dyDescent="0.25">
      <c r="A578">
        <v>599</v>
      </c>
      <c r="B578" t="s">
        <v>608</v>
      </c>
      <c r="C578">
        <v>5</v>
      </c>
    </row>
    <row r="579" spans="1:3" x14ac:dyDescent="0.25">
      <c r="A579">
        <v>600</v>
      </c>
      <c r="B579" t="s">
        <v>609</v>
      </c>
      <c r="C579">
        <v>5</v>
      </c>
    </row>
    <row r="580" spans="1:3" x14ac:dyDescent="0.25">
      <c r="A580">
        <v>601</v>
      </c>
      <c r="B580" t="s">
        <v>610</v>
      </c>
      <c r="C580">
        <v>5</v>
      </c>
    </row>
    <row r="581" spans="1:3" x14ac:dyDescent="0.25">
      <c r="A581">
        <v>607</v>
      </c>
      <c r="B581" t="s">
        <v>611</v>
      </c>
      <c r="C581">
        <v>5</v>
      </c>
    </row>
    <row r="582" spans="1:3" x14ac:dyDescent="0.25">
      <c r="A582">
        <v>608</v>
      </c>
      <c r="B582" t="s">
        <v>612</v>
      </c>
      <c r="C582">
        <v>5</v>
      </c>
    </row>
    <row r="583" spans="1:3" x14ac:dyDescent="0.25">
      <c r="A583">
        <v>609</v>
      </c>
      <c r="B583" t="s">
        <v>613</v>
      </c>
      <c r="C583">
        <v>5</v>
      </c>
    </row>
    <row r="584" spans="1:3" x14ac:dyDescent="0.25">
      <c r="A584">
        <v>610</v>
      </c>
      <c r="B584" t="s">
        <v>614</v>
      </c>
      <c r="C584">
        <v>5</v>
      </c>
    </row>
    <row r="585" spans="1:3" x14ac:dyDescent="0.25">
      <c r="A585">
        <v>611</v>
      </c>
      <c r="B585" t="s">
        <v>615</v>
      </c>
      <c r="C585">
        <v>5</v>
      </c>
    </row>
    <row r="586" spans="1:3" x14ac:dyDescent="0.25">
      <c r="A586">
        <v>612</v>
      </c>
      <c r="B586" t="s">
        <v>616</v>
      </c>
      <c r="C586">
        <v>5</v>
      </c>
    </row>
    <row r="587" spans="1:3" x14ac:dyDescent="0.25">
      <c r="A587">
        <v>615</v>
      </c>
      <c r="B587" t="s">
        <v>617</v>
      </c>
      <c r="C587">
        <v>5</v>
      </c>
    </row>
    <row r="588" spans="1:3" x14ac:dyDescent="0.25">
      <c r="A588">
        <v>618</v>
      </c>
      <c r="B588" t="s">
        <v>730</v>
      </c>
      <c r="C588">
        <v>5</v>
      </c>
    </row>
    <row r="589" spans="1:3" x14ac:dyDescent="0.25">
      <c r="A589">
        <v>621</v>
      </c>
      <c r="B589" t="s">
        <v>731</v>
      </c>
      <c r="C589">
        <v>5</v>
      </c>
    </row>
    <row r="590" spans="1:3" x14ac:dyDescent="0.25">
      <c r="A590">
        <v>622</v>
      </c>
      <c r="B590" t="s">
        <v>618</v>
      </c>
      <c r="C590">
        <v>5</v>
      </c>
    </row>
    <row r="591" spans="1:3" x14ac:dyDescent="0.25">
      <c r="A591">
        <v>623</v>
      </c>
      <c r="B591" t="s">
        <v>619</v>
      </c>
      <c r="C591">
        <v>5</v>
      </c>
    </row>
    <row r="592" spans="1:3" x14ac:dyDescent="0.25">
      <c r="A592">
        <v>624</v>
      </c>
      <c r="B592" t="s">
        <v>732</v>
      </c>
      <c r="C592">
        <v>5</v>
      </c>
    </row>
    <row r="593" spans="1:3" x14ac:dyDescent="0.25">
      <c r="A593">
        <v>625</v>
      </c>
      <c r="B593" t="s">
        <v>733</v>
      </c>
      <c r="C593">
        <v>5</v>
      </c>
    </row>
    <row r="594" spans="1:3" x14ac:dyDescent="0.25">
      <c r="A594">
        <v>627</v>
      </c>
      <c r="B594" t="s">
        <v>734</v>
      </c>
      <c r="C594">
        <v>5</v>
      </c>
    </row>
    <row r="595" spans="1:3" x14ac:dyDescent="0.25">
      <c r="A595">
        <v>628</v>
      </c>
      <c r="B595" t="s">
        <v>735</v>
      </c>
      <c r="C595">
        <v>5</v>
      </c>
    </row>
    <row r="596" spans="1:3" x14ac:dyDescent="0.25">
      <c r="A596">
        <v>629</v>
      </c>
      <c r="B596" t="s">
        <v>736</v>
      </c>
      <c r="C596">
        <v>5</v>
      </c>
    </row>
    <row r="597" spans="1:3" x14ac:dyDescent="0.25">
      <c r="A597">
        <v>630</v>
      </c>
      <c r="B597" t="s">
        <v>737</v>
      </c>
      <c r="C597">
        <v>5</v>
      </c>
    </row>
    <row r="598" spans="1:3" x14ac:dyDescent="0.25">
      <c r="A598">
        <v>633</v>
      </c>
      <c r="B598" t="s">
        <v>620</v>
      </c>
      <c r="C598">
        <v>5</v>
      </c>
    </row>
    <row r="599" spans="1:3" x14ac:dyDescent="0.25">
      <c r="A599">
        <v>634</v>
      </c>
      <c r="B599" t="s">
        <v>621</v>
      </c>
      <c r="C599">
        <v>5</v>
      </c>
    </row>
    <row r="600" spans="1:3" x14ac:dyDescent="0.25">
      <c r="A600">
        <v>635</v>
      </c>
      <c r="B600" t="s">
        <v>622</v>
      </c>
      <c r="C600">
        <v>5</v>
      </c>
    </row>
    <row r="601" spans="1:3" x14ac:dyDescent="0.25">
      <c r="A601">
        <v>636</v>
      </c>
      <c r="B601" t="s">
        <v>738</v>
      </c>
      <c r="C601">
        <v>5</v>
      </c>
    </row>
    <row r="602" spans="1:3" x14ac:dyDescent="0.25">
      <c r="A602">
        <v>637</v>
      </c>
      <c r="B602" t="s">
        <v>739</v>
      </c>
      <c r="C602">
        <v>5</v>
      </c>
    </row>
    <row r="603" spans="1:3" x14ac:dyDescent="0.25">
      <c r="A603">
        <v>144</v>
      </c>
      <c r="B603" t="s">
        <v>653</v>
      </c>
      <c r="C603">
        <v>20</v>
      </c>
    </row>
    <row r="604" spans="1:3" x14ac:dyDescent="0.25">
      <c r="A604">
        <v>145</v>
      </c>
      <c r="B604" t="s">
        <v>654</v>
      </c>
      <c r="C604">
        <v>20</v>
      </c>
    </row>
    <row r="605" spans="1:3" x14ac:dyDescent="0.25">
      <c r="A605">
        <v>146</v>
      </c>
      <c r="B605" t="s">
        <v>655</v>
      </c>
      <c r="C605">
        <v>20</v>
      </c>
    </row>
    <row r="606" spans="1:3" x14ac:dyDescent="0.25">
      <c r="A606">
        <v>150</v>
      </c>
      <c r="B606" t="s">
        <v>656</v>
      </c>
      <c r="C606">
        <v>20</v>
      </c>
    </row>
    <row r="607" spans="1:3" x14ac:dyDescent="0.25">
      <c r="A607">
        <v>151</v>
      </c>
      <c r="B607" t="s">
        <v>657</v>
      </c>
      <c r="C607">
        <v>20</v>
      </c>
    </row>
    <row r="608" spans="1:3" x14ac:dyDescent="0.25">
      <c r="A608">
        <v>243</v>
      </c>
      <c r="B608" t="s">
        <v>662</v>
      </c>
      <c r="C608">
        <v>20</v>
      </c>
    </row>
    <row r="609" spans="1:3" x14ac:dyDescent="0.25">
      <c r="A609">
        <v>244</v>
      </c>
      <c r="B609" t="s">
        <v>663</v>
      </c>
      <c r="C609">
        <v>20</v>
      </c>
    </row>
    <row r="610" spans="1:3" x14ac:dyDescent="0.25">
      <c r="A610">
        <v>245</v>
      </c>
      <c r="B610" t="s">
        <v>664</v>
      </c>
      <c r="C610">
        <v>20</v>
      </c>
    </row>
    <row r="611" spans="1:3" x14ac:dyDescent="0.25">
      <c r="A611">
        <v>249</v>
      </c>
      <c r="B611" t="s">
        <v>665</v>
      </c>
      <c r="C611">
        <v>20</v>
      </c>
    </row>
    <row r="612" spans="1:3" x14ac:dyDescent="0.25">
      <c r="A612">
        <v>250</v>
      </c>
      <c r="B612" t="s">
        <v>666</v>
      </c>
      <c r="C612">
        <v>20</v>
      </c>
    </row>
    <row r="613" spans="1:3" x14ac:dyDescent="0.25">
      <c r="A613">
        <v>251</v>
      </c>
      <c r="B613" t="s">
        <v>667</v>
      </c>
      <c r="C613">
        <v>20</v>
      </c>
    </row>
    <row r="614" spans="1:3" x14ac:dyDescent="0.25">
      <c r="A614">
        <v>377</v>
      </c>
      <c r="B614" t="s">
        <v>668</v>
      </c>
      <c r="C614">
        <v>20</v>
      </c>
    </row>
    <row r="615" spans="1:3" x14ac:dyDescent="0.25">
      <c r="A615">
        <v>378</v>
      </c>
      <c r="B615" t="s">
        <v>669</v>
      </c>
      <c r="C615">
        <v>20</v>
      </c>
    </row>
    <row r="616" spans="1:3" x14ac:dyDescent="0.25">
      <c r="A616">
        <v>379</v>
      </c>
      <c r="B616" t="s">
        <v>670</v>
      </c>
      <c r="C616">
        <v>20</v>
      </c>
    </row>
    <row r="617" spans="1:3" x14ac:dyDescent="0.25">
      <c r="A617">
        <v>380</v>
      </c>
      <c r="B617" t="s">
        <v>671</v>
      </c>
      <c r="C617">
        <v>20</v>
      </c>
    </row>
    <row r="618" spans="1:3" x14ac:dyDescent="0.25">
      <c r="A618">
        <v>381</v>
      </c>
      <c r="B618" t="s">
        <v>672</v>
      </c>
      <c r="C618">
        <v>20</v>
      </c>
    </row>
    <row r="619" spans="1:3" x14ac:dyDescent="0.25">
      <c r="A619">
        <v>382</v>
      </c>
      <c r="B619" t="s">
        <v>673</v>
      </c>
      <c r="C619">
        <v>20</v>
      </c>
    </row>
    <row r="620" spans="1:3" x14ac:dyDescent="0.25">
      <c r="A620">
        <v>383</v>
      </c>
      <c r="B620" t="s">
        <v>674</v>
      </c>
      <c r="C620">
        <v>20</v>
      </c>
    </row>
    <row r="621" spans="1:3" x14ac:dyDescent="0.25">
      <c r="A621">
        <v>384</v>
      </c>
      <c r="B621" t="s">
        <v>675</v>
      </c>
      <c r="C621">
        <v>20</v>
      </c>
    </row>
    <row r="622" spans="1:3" x14ac:dyDescent="0.25">
      <c r="A622">
        <v>385</v>
      </c>
      <c r="B622" t="s">
        <v>676</v>
      </c>
      <c r="C622">
        <v>20</v>
      </c>
    </row>
    <row r="623" spans="1:3" x14ac:dyDescent="0.25">
      <c r="A623">
        <v>386</v>
      </c>
      <c r="B623" t="s">
        <v>677</v>
      </c>
      <c r="C623">
        <v>20</v>
      </c>
    </row>
    <row r="624" spans="1:3" x14ac:dyDescent="0.25">
      <c r="A624">
        <v>480</v>
      </c>
      <c r="B624" t="s">
        <v>740</v>
      </c>
      <c r="C624">
        <v>20</v>
      </c>
    </row>
    <row r="625" spans="1:3" x14ac:dyDescent="0.25">
      <c r="A625">
        <v>481</v>
      </c>
      <c r="B625" t="s">
        <v>741</v>
      </c>
      <c r="C625">
        <v>20</v>
      </c>
    </row>
    <row r="626" spans="1:3" x14ac:dyDescent="0.25">
      <c r="A626">
        <v>482</v>
      </c>
      <c r="B626" t="s">
        <v>742</v>
      </c>
      <c r="C626">
        <v>20</v>
      </c>
    </row>
    <row r="627" spans="1:3" x14ac:dyDescent="0.25">
      <c r="A627">
        <v>483</v>
      </c>
      <c r="B627" t="s">
        <v>743</v>
      </c>
      <c r="C627">
        <v>20</v>
      </c>
    </row>
    <row r="628" spans="1:3" x14ac:dyDescent="0.25">
      <c r="A628">
        <v>484</v>
      </c>
      <c r="B628" t="s">
        <v>744</v>
      </c>
      <c r="C628">
        <v>20</v>
      </c>
    </row>
    <row r="629" spans="1:3" x14ac:dyDescent="0.25">
      <c r="A629">
        <v>485</v>
      </c>
      <c r="B629" t="s">
        <v>745</v>
      </c>
      <c r="C629">
        <v>20</v>
      </c>
    </row>
    <row r="630" spans="1:3" x14ac:dyDescent="0.25">
      <c r="A630">
        <v>486</v>
      </c>
      <c r="B630" t="s">
        <v>746</v>
      </c>
      <c r="C630">
        <v>20</v>
      </c>
    </row>
    <row r="631" spans="1:3" x14ac:dyDescent="0.25">
      <c r="A631">
        <v>487</v>
      </c>
      <c r="B631" t="s">
        <v>747</v>
      </c>
      <c r="C631">
        <v>20</v>
      </c>
    </row>
    <row r="632" spans="1:3" x14ac:dyDescent="0.25">
      <c r="A632">
        <v>488</v>
      </c>
      <c r="B632" t="s">
        <v>748</v>
      </c>
      <c r="C632">
        <v>20</v>
      </c>
    </row>
    <row r="633" spans="1:3" x14ac:dyDescent="0.25">
      <c r="A633">
        <v>489</v>
      </c>
      <c r="B633" t="s">
        <v>749</v>
      </c>
      <c r="C633">
        <v>20</v>
      </c>
    </row>
    <row r="634" spans="1:3" x14ac:dyDescent="0.25">
      <c r="A634">
        <v>490</v>
      </c>
      <c r="B634" t="s">
        <v>750</v>
      </c>
      <c r="C634">
        <v>20</v>
      </c>
    </row>
    <row r="635" spans="1:3" x14ac:dyDescent="0.25">
      <c r="A635">
        <v>491</v>
      </c>
      <c r="B635" t="s">
        <v>751</v>
      </c>
      <c r="C635">
        <v>20</v>
      </c>
    </row>
    <row r="636" spans="1:3" x14ac:dyDescent="0.25">
      <c r="A636">
        <v>492</v>
      </c>
      <c r="B636" t="s">
        <v>752</v>
      </c>
      <c r="C636">
        <v>20</v>
      </c>
    </row>
    <row r="637" spans="1:3" x14ac:dyDescent="0.25">
      <c r="A637">
        <v>493</v>
      </c>
      <c r="B637" t="s">
        <v>753</v>
      </c>
      <c r="C637">
        <v>20</v>
      </c>
    </row>
    <row r="638" spans="1:3" x14ac:dyDescent="0.25">
      <c r="A638">
        <v>494</v>
      </c>
      <c r="B638" t="s">
        <v>754</v>
      </c>
      <c r="C638">
        <v>20</v>
      </c>
    </row>
    <row r="639" spans="1:3" x14ac:dyDescent="0.25">
      <c r="A639">
        <v>638</v>
      </c>
      <c r="B639" t="s">
        <v>755</v>
      </c>
      <c r="C639">
        <v>20</v>
      </c>
    </row>
    <row r="640" spans="1:3" x14ac:dyDescent="0.25">
      <c r="A640">
        <v>639</v>
      </c>
      <c r="B640" t="s">
        <v>756</v>
      </c>
      <c r="C640">
        <v>20</v>
      </c>
    </row>
    <row r="641" spans="1:3" x14ac:dyDescent="0.25">
      <c r="A641">
        <v>640</v>
      </c>
      <c r="B641" t="s">
        <v>757</v>
      </c>
      <c r="C641">
        <v>20</v>
      </c>
    </row>
    <row r="642" spans="1:3" x14ac:dyDescent="0.25">
      <c r="A642">
        <v>641</v>
      </c>
      <c r="B642" t="s">
        <v>758</v>
      </c>
      <c r="C642">
        <v>20</v>
      </c>
    </row>
    <row r="643" spans="1:3" x14ac:dyDescent="0.25">
      <c r="A643">
        <v>642</v>
      </c>
      <c r="B643" t="s">
        <v>759</v>
      </c>
      <c r="C643">
        <v>20</v>
      </c>
    </row>
    <row r="644" spans="1:3" x14ac:dyDescent="0.25">
      <c r="A644">
        <v>643</v>
      </c>
      <c r="B644" t="s">
        <v>760</v>
      </c>
      <c r="C644">
        <v>20</v>
      </c>
    </row>
    <row r="645" spans="1:3" x14ac:dyDescent="0.25">
      <c r="A645">
        <v>644</v>
      </c>
      <c r="B645" t="s">
        <v>761</v>
      </c>
      <c r="C645">
        <v>20</v>
      </c>
    </row>
    <row r="646" spans="1:3" x14ac:dyDescent="0.25">
      <c r="A646">
        <v>645</v>
      </c>
      <c r="B646" t="s">
        <v>762</v>
      </c>
      <c r="C646">
        <v>20</v>
      </c>
    </row>
    <row r="647" spans="1:3" x14ac:dyDescent="0.25">
      <c r="A647">
        <v>646</v>
      </c>
      <c r="B647" t="s">
        <v>763</v>
      </c>
      <c r="C647">
        <v>20</v>
      </c>
    </row>
    <row r="648" spans="1:3" x14ac:dyDescent="0.25">
      <c r="A648">
        <v>647</v>
      </c>
      <c r="B648" t="s">
        <v>764</v>
      </c>
      <c r="C648">
        <v>20</v>
      </c>
    </row>
    <row r="649" spans="1:3" x14ac:dyDescent="0.25">
      <c r="A649">
        <v>648</v>
      </c>
      <c r="B649" t="s">
        <v>765</v>
      </c>
      <c r="C649">
        <v>20</v>
      </c>
    </row>
    <row r="650" spans="1:3" x14ac:dyDescent="0.25">
      <c r="A650">
        <v>649</v>
      </c>
      <c r="B650" t="s">
        <v>766</v>
      </c>
      <c r="C650">
        <v>20</v>
      </c>
    </row>
    <row r="651" spans="1:3" x14ac:dyDescent="0.25">
      <c r="A651">
        <v>808</v>
      </c>
      <c r="B651" t="s">
        <v>767</v>
      </c>
      <c r="C651">
        <v>20</v>
      </c>
    </row>
    <row r="652" spans="1:3" x14ac:dyDescent="0.25">
      <c r="A652">
        <v>809</v>
      </c>
      <c r="B652" t="s">
        <v>768</v>
      </c>
      <c r="C652">
        <v>20</v>
      </c>
    </row>
  </sheetData>
  <dataValidations count="1">
    <dataValidation type="list" allowBlank="1" showInputMessage="1" showErrorMessage="1" sqref="H3:H36">
      <formula1>$B$3:$B$652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C18" sqref="C18"/>
    </sheetView>
  </sheetViews>
  <sheetFormatPr defaultRowHeight="15" x14ac:dyDescent="0.25"/>
  <cols>
    <col min="4" max="4" width="8.85546875" bestFit="1" customWidth="1"/>
    <col min="5" max="5" width="10.85546875" bestFit="1" customWidth="1"/>
    <col min="6" max="7" width="10" bestFit="1" customWidth="1"/>
    <col min="8" max="8" width="13.5703125" bestFit="1" customWidth="1"/>
    <col min="9" max="9" width="15.7109375" bestFit="1" customWidth="1"/>
    <col min="10" max="10" width="14.5703125" bestFit="1" customWidth="1"/>
    <col min="11" max="11" width="10" bestFit="1" customWidth="1"/>
    <col min="12" max="12" width="13.5703125" bestFit="1" customWidth="1"/>
    <col min="13" max="13" width="15.7109375" bestFit="1" customWidth="1"/>
    <col min="14" max="15" width="14.5703125" bestFit="1" customWidth="1"/>
  </cols>
  <sheetData>
    <row r="1" spans="1:15" x14ac:dyDescent="0.25">
      <c r="A1" t="s">
        <v>795</v>
      </c>
    </row>
    <row r="2" spans="1:15" x14ac:dyDescent="0.25">
      <c r="A2" t="s">
        <v>772</v>
      </c>
      <c r="B2" t="s">
        <v>774</v>
      </c>
      <c r="C2" t="s">
        <v>773</v>
      </c>
      <c r="D2" t="s">
        <v>786</v>
      </c>
      <c r="E2" t="s">
        <v>785</v>
      </c>
      <c r="F2" t="s">
        <v>781</v>
      </c>
      <c r="G2" t="s">
        <v>779</v>
      </c>
      <c r="H2" t="s">
        <v>778</v>
      </c>
      <c r="I2" t="s">
        <v>775</v>
      </c>
      <c r="J2" t="s">
        <v>782</v>
      </c>
      <c r="K2" t="s">
        <v>780</v>
      </c>
      <c r="L2" t="s">
        <v>777</v>
      </c>
      <c r="M2" t="s">
        <v>776</v>
      </c>
      <c r="N2" t="s">
        <v>783</v>
      </c>
      <c r="O2" t="s">
        <v>784</v>
      </c>
    </row>
    <row r="3" spans="1:15" x14ac:dyDescent="0.25">
      <c r="A3" t="s">
        <v>4</v>
      </c>
      <c r="B3" s="5">
        <v>949</v>
      </c>
      <c r="C3" s="5">
        <v>33</v>
      </c>
      <c r="D3" s="5"/>
      <c r="E3" s="5"/>
      <c r="F3" s="5"/>
      <c r="G3" s="5">
        <v>1462</v>
      </c>
      <c r="H3" s="5">
        <v>1529</v>
      </c>
      <c r="I3" s="5">
        <v>1263</v>
      </c>
      <c r="J3" s="5">
        <v>14000</v>
      </c>
      <c r="K3" s="5">
        <v>2360</v>
      </c>
      <c r="L3" s="5">
        <v>2448</v>
      </c>
      <c r="M3" s="5">
        <v>2109</v>
      </c>
      <c r="N3" s="5"/>
      <c r="O3" s="5">
        <v>44000</v>
      </c>
    </row>
    <row r="4" spans="1:15" x14ac:dyDescent="0.25">
      <c r="A4" t="s">
        <v>6</v>
      </c>
      <c r="B4" s="5">
        <v>719</v>
      </c>
      <c r="C4" s="5">
        <v>27</v>
      </c>
      <c r="D4" s="5"/>
      <c r="E4" s="5"/>
      <c r="F4" s="5"/>
      <c r="G4" s="5">
        <v>1226</v>
      </c>
      <c r="H4" s="5">
        <v>1275</v>
      </c>
      <c r="I4" s="5">
        <v>1050</v>
      </c>
      <c r="J4" s="5"/>
      <c r="K4" s="5">
        <v>2162</v>
      </c>
      <c r="L4" s="5">
        <v>2229</v>
      </c>
      <c r="M4" s="5">
        <v>1927</v>
      </c>
      <c r="N4" s="5"/>
      <c r="O4" s="5">
        <v>50000</v>
      </c>
    </row>
    <row r="5" spans="1:15" x14ac:dyDescent="0.25">
      <c r="A5" t="s">
        <v>6</v>
      </c>
      <c r="B5" s="5">
        <v>680</v>
      </c>
      <c r="C5" s="5">
        <v>27</v>
      </c>
      <c r="D5" s="5"/>
      <c r="E5" s="5"/>
      <c r="F5" s="5"/>
      <c r="G5" s="5">
        <v>1176</v>
      </c>
      <c r="H5" s="5">
        <v>1275</v>
      </c>
      <c r="I5" s="5">
        <v>1050</v>
      </c>
      <c r="J5" s="5"/>
      <c r="K5" s="5">
        <v>2097</v>
      </c>
      <c r="L5" s="5">
        <v>2229</v>
      </c>
      <c r="M5" s="5">
        <v>1927</v>
      </c>
      <c r="N5" s="5"/>
      <c r="O5" s="5">
        <v>76000</v>
      </c>
    </row>
    <row r="6" spans="1:15" x14ac:dyDescent="0.25">
      <c r="A6" t="s">
        <v>771</v>
      </c>
      <c r="B6" s="5">
        <v>696</v>
      </c>
      <c r="C6" s="5">
        <v>30</v>
      </c>
      <c r="D6" s="5"/>
      <c r="E6" s="5"/>
      <c r="F6" s="5"/>
      <c r="G6" s="5">
        <v>1132</v>
      </c>
      <c r="H6" s="5">
        <v>1275</v>
      </c>
      <c r="I6" s="5">
        <v>1038</v>
      </c>
      <c r="J6" s="5"/>
      <c r="K6" s="5">
        <v>1928</v>
      </c>
      <c r="L6" s="5">
        <v>2113</v>
      </c>
      <c r="M6" s="5">
        <v>1806</v>
      </c>
      <c r="N6" s="5"/>
      <c r="O6" s="5"/>
    </row>
    <row r="7" spans="1:15" x14ac:dyDescent="0.25">
      <c r="A7" t="s">
        <v>788</v>
      </c>
      <c r="B7" s="5">
        <v>1337</v>
      </c>
      <c r="C7" s="5">
        <v>30</v>
      </c>
      <c r="D7" s="5">
        <v>1483</v>
      </c>
      <c r="E7" s="5">
        <v>1227</v>
      </c>
      <c r="F7" s="5">
        <v>94000</v>
      </c>
      <c r="G7" s="5" t="s">
        <v>794</v>
      </c>
      <c r="H7" s="5"/>
      <c r="I7" s="5"/>
      <c r="J7" s="5"/>
      <c r="K7" s="5" t="s">
        <v>787</v>
      </c>
      <c r="L7" s="5"/>
      <c r="M7" s="5"/>
      <c r="N7" s="5"/>
      <c r="O7" s="5"/>
    </row>
    <row r="8" spans="1:15" x14ac:dyDescent="0.25">
      <c r="A8" t="s">
        <v>788</v>
      </c>
      <c r="B8" s="5">
        <v>1295</v>
      </c>
      <c r="C8" s="5">
        <v>29</v>
      </c>
      <c r="D8" s="5">
        <v>1434</v>
      </c>
      <c r="E8" s="5">
        <v>1186</v>
      </c>
      <c r="F8" s="5">
        <v>104000</v>
      </c>
      <c r="G8" s="5" t="s">
        <v>794</v>
      </c>
      <c r="H8" s="5"/>
      <c r="I8" s="5"/>
      <c r="J8" s="5"/>
      <c r="K8" s="5" t="s">
        <v>787</v>
      </c>
      <c r="L8" s="5"/>
      <c r="M8" s="5"/>
      <c r="N8" s="5"/>
      <c r="O8" s="5"/>
    </row>
    <row r="9" spans="1:15" x14ac:dyDescent="0.25">
      <c r="A9" t="s">
        <v>789</v>
      </c>
      <c r="B9" s="5">
        <v>711</v>
      </c>
      <c r="C9" s="5">
        <v>24</v>
      </c>
      <c r="D9" s="5"/>
      <c r="E9" s="5"/>
      <c r="F9" s="5"/>
      <c r="G9" s="5"/>
      <c r="H9" s="5"/>
      <c r="I9" s="5"/>
      <c r="J9" s="5"/>
      <c r="K9" s="5">
        <v>2205</v>
      </c>
      <c r="L9" s="5">
        <v>2274</v>
      </c>
      <c r="M9" s="5">
        <v>1945</v>
      </c>
      <c r="N9" s="5"/>
      <c r="O9" s="5"/>
    </row>
    <row r="10" spans="1:15" x14ac:dyDescent="0.25">
      <c r="A10" t="s">
        <v>789</v>
      </c>
      <c r="B10" s="5">
        <v>441</v>
      </c>
      <c r="C10" s="5">
        <v>20</v>
      </c>
      <c r="D10" s="5"/>
      <c r="E10" s="5"/>
      <c r="F10" s="5"/>
      <c r="G10" s="5"/>
      <c r="H10" s="5"/>
      <c r="I10" s="5"/>
      <c r="J10" s="5"/>
      <c r="K10" s="5">
        <v>1374</v>
      </c>
      <c r="L10" s="5">
        <v>1421</v>
      </c>
      <c r="M10" s="5">
        <v>1215</v>
      </c>
      <c r="N10" s="5">
        <v>8000</v>
      </c>
      <c r="O10" s="5"/>
    </row>
    <row r="11" spans="1:15" x14ac:dyDescent="0.25">
      <c r="A11" t="s">
        <v>791</v>
      </c>
      <c r="B11" s="5">
        <v>1077</v>
      </c>
      <c r="C11" s="5">
        <v>32</v>
      </c>
      <c r="D11" s="5"/>
      <c r="E11" s="5"/>
      <c r="F11" s="5"/>
      <c r="G11" s="5" t="s">
        <v>794</v>
      </c>
      <c r="H11" s="5"/>
      <c r="I11" s="5"/>
      <c r="J11" s="5"/>
      <c r="K11" s="5">
        <v>2089</v>
      </c>
      <c r="L11" s="5">
        <v>2203</v>
      </c>
      <c r="M11" s="5">
        <v>1884</v>
      </c>
      <c r="N11" s="5"/>
      <c r="O11" s="5"/>
    </row>
    <row r="12" spans="1:15" x14ac:dyDescent="0.25">
      <c r="A12" t="s">
        <v>792</v>
      </c>
      <c r="B12" s="5">
        <v>1539</v>
      </c>
      <c r="C12" s="5">
        <v>23</v>
      </c>
      <c r="D12" s="5"/>
      <c r="E12" s="5"/>
      <c r="F12" s="5"/>
      <c r="G12" s="5"/>
      <c r="H12" s="5"/>
      <c r="I12" s="5"/>
      <c r="J12" s="5"/>
      <c r="K12" s="5" t="s">
        <v>794</v>
      </c>
      <c r="L12" s="5">
        <v>1635</v>
      </c>
      <c r="M12" s="5">
        <v>1398</v>
      </c>
      <c r="N12" s="5"/>
      <c r="O12" s="5"/>
    </row>
    <row r="13" spans="1:15" x14ac:dyDescent="0.25">
      <c r="A13" t="s">
        <v>793</v>
      </c>
      <c r="B13" s="5">
        <v>703</v>
      </c>
      <c r="C13" s="5">
        <v>34</v>
      </c>
      <c r="D13" s="5"/>
      <c r="E13" s="5"/>
      <c r="F13" s="5"/>
      <c r="G13" s="5"/>
      <c r="H13" s="5"/>
      <c r="I13" s="5"/>
      <c r="J13" s="5"/>
      <c r="K13" s="5">
        <v>2197</v>
      </c>
      <c r="L13" s="5">
        <v>2347</v>
      </c>
      <c r="M13" s="5">
        <v>2010</v>
      </c>
      <c r="N13" s="5"/>
      <c r="O13" s="5">
        <v>102000</v>
      </c>
    </row>
    <row r="14" spans="1:15" x14ac:dyDescent="0.25">
      <c r="A14" t="s">
        <v>793</v>
      </c>
      <c r="B14" s="5">
        <v>399</v>
      </c>
      <c r="C14" s="5"/>
      <c r="D14" s="5"/>
      <c r="E14" s="5"/>
      <c r="F14" s="5"/>
      <c r="G14" s="5"/>
      <c r="H14" s="5"/>
      <c r="I14" s="5"/>
      <c r="J14" s="5"/>
      <c r="K14" s="5">
        <v>1279</v>
      </c>
      <c r="L14" s="5">
        <v>1393</v>
      </c>
      <c r="M14" s="5">
        <v>1193</v>
      </c>
      <c r="N14" s="5">
        <v>16000</v>
      </c>
      <c r="O14" s="5"/>
    </row>
    <row r="15" spans="1:15" x14ac:dyDescent="0.25">
      <c r="A15" t="s">
        <v>796</v>
      </c>
      <c r="B15" s="5">
        <v>1078</v>
      </c>
      <c r="C15" s="5">
        <v>15</v>
      </c>
      <c r="D15" s="5"/>
      <c r="E15" s="5"/>
      <c r="F15" s="5"/>
      <c r="G15" s="5"/>
      <c r="H15" s="5"/>
      <c r="I15" s="5"/>
      <c r="J15" s="5"/>
      <c r="K15" s="5" t="s">
        <v>794</v>
      </c>
      <c r="L15" s="5">
        <v>1100</v>
      </c>
      <c r="M15" s="5">
        <v>942</v>
      </c>
      <c r="N15" s="5">
        <v>23900</v>
      </c>
      <c r="O15" s="5"/>
    </row>
    <row r="16" spans="1:15" x14ac:dyDescent="0.25">
      <c r="A16" t="s">
        <v>639</v>
      </c>
      <c r="B16" s="5">
        <v>570</v>
      </c>
      <c r="C16" s="5">
        <v>20</v>
      </c>
      <c r="D16" s="5"/>
      <c r="E16" s="5"/>
      <c r="F16" s="5"/>
      <c r="G16" s="5"/>
      <c r="H16" s="5"/>
      <c r="I16" s="5"/>
      <c r="J16" s="5"/>
      <c r="K16" s="5">
        <v>1582</v>
      </c>
      <c r="L16" s="5">
        <v>1699</v>
      </c>
      <c r="M16" s="5">
        <v>1473</v>
      </c>
      <c r="N16" s="5"/>
      <c r="O16" s="5"/>
    </row>
    <row r="17" spans="1:15" x14ac:dyDescent="0.25">
      <c r="A17" t="s">
        <v>639</v>
      </c>
      <c r="B17" s="5">
        <v>450</v>
      </c>
      <c r="C17" s="5">
        <v>16</v>
      </c>
      <c r="D17" s="5"/>
      <c r="E17" s="5"/>
      <c r="F17" s="5"/>
      <c r="G17" s="5"/>
      <c r="H17" s="5"/>
      <c r="I17" s="5"/>
      <c r="J17" s="5"/>
      <c r="K17" s="5">
        <v>1252</v>
      </c>
      <c r="L17" s="5">
        <v>1359</v>
      </c>
      <c r="M17" s="5">
        <v>1178</v>
      </c>
      <c r="N17" s="5">
        <v>12600</v>
      </c>
      <c r="O17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selection activeCell="R17" sqref="R17"/>
    </sheetView>
  </sheetViews>
  <sheetFormatPr defaultRowHeight="15" x14ac:dyDescent="0.25"/>
  <cols>
    <col min="2" max="2" width="12.140625" customWidth="1"/>
  </cols>
  <sheetData>
    <row r="1" spans="1:2" x14ac:dyDescent="0.25">
      <c r="A1" t="s">
        <v>797</v>
      </c>
      <c r="B1" t="s">
        <v>798</v>
      </c>
    </row>
    <row r="2" spans="1:2" x14ac:dyDescent="0.25">
      <c r="A2">
        <v>1</v>
      </c>
      <c r="B2">
        <v>9.4E-2</v>
      </c>
    </row>
    <row r="3" spans="1:2" x14ac:dyDescent="0.25">
      <c r="A3">
        <v>1.5</v>
      </c>
      <c r="B3">
        <v>0.135137432</v>
      </c>
    </row>
    <row r="4" spans="1:2" x14ac:dyDescent="0.25">
      <c r="A4">
        <v>2</v>
      </c>
      <c r="B4">
        <v>0.16639787</v>
      </c>
    </row>
    <row r="5" spans="1:2" x14ac:dyDescent="0.25">
      <c r="A5">
        <v>2.5</v>
      </c>
      <c r="B5">
        <v>0.192650919</v>
      </c>
    </row>
    <row r="6" spans="1:2" x14ac:dyDescent="0.25">
      <c r="A6">
        <v>3</v>
      </c>
      <c r="B6">
        <v>0.21573247000000001</v>
      </c>
    </row>
    <row r="7" spans="1:2" x14ac:dyDescent="0.25">
      <c r="A7">
        <v>3.5</v>
      </c>
      <c r="B7">
        <v>0.23657266099999999</v>
      </c>
    </row>
    <row r="8" spans="1:2" x14ac:dyDescent="0.25">
      <c r="A8">
        <v>4</v>
      </c>
      <c r="B8">
        <v>0.25572004999999998</v>
      </c>
    </row>
    <row r="9" spans="1:2" x14ac:dyDescent="0.25">
      <c r="A9">
        <v>4.5</v>
      </c>
      <c r="B9">
        <v>0.27353038099999999</v>
      </c>
    </row>
    <row r="10" spans="1:2" x14ac:dyDescent="0.25">
      <c r="A10">
        <v>5</v>
      </c>
      <c r="B10">
        <v>0.29024988000000002</v>
      </c>
    </row>
    <row r="11" spans="1:2" x14ac:dyDescent="0.25">
      <c r="A11">
        <v>5.5</v>
      </c>
      <c r="B11">
        <v>0.30605737700000002</v>
      </c>
    </row>
    <row r="12" spans="1:2" x14ac:dyDescent="0.25">
      <c r="A12">
        <v>6</v>
      </c>
      <c r="B12">
        <v>0.32108759999999997</v>
      </c>
    </row>
    <row r="13" spans="1:2" x14ac:dyDescent="0.25">
      <c r="A13">
        <v>6.5</v>
      </c>
      <c r="B13">
        <v>0.33544503599999997</v>
      </c>
    </row>
    <row r="14" spans="1:2" x14ac:dyDescent="0.25">
      <c r="A14">
        <v>7</v>
      </c>
      <c r="B14">
        <v>0.34921268</v>
      </c>
    </row>
    <row r="15" spans="1:2" x14ac:dyDescent="0.25">
      <c r="A15">
        <v>7.5</v>
      </c>
      <c r="B15">
        <v>0.36245775099999999</v>
      </c>
    </row>
    <row r="16" spans="1:2" x14ac:dyDescent="0.25">
      <c r="A16">
        <v>8</v>
      </c>
      <c r="B16">
        <v>0.37523559000000001</v>
      </c>
    </row>
    <row r="17" spans="1:2" x14ac:dyDescent="0.25">
      <c r="A17">
        <v>8.5</v>
      </c>
      <c r="B17">
        <v>0.387592406</v>
      </c>
    </row>
    <row r="18" spans="1:2" x14ac:dyDescent="0.25">
      <c r="A18">
        <v>9</v>
      </c>
      <c r="B18">
        <v>0.39956728000000002</v>
      </c>
    </row>
    <row r="19" spans="1:2" x14ac:dyDescent="0.25">
      <c r="A19">
        <v>9.5</v>
      </c>
      <c r="B19">
        <v>0.41119355099999999</v>
      </c>
    </row>
    <row r="20" spans="1:2" x14ac:dyDescent="0.25">
      <c r="A20">
        <v>10</v>
      </c>
      <c r="B20">
        <v>0.42250000999999998</v>
      </c>
    </row>
    <row r="21" spans="1:2" x14ac:dyDescent="0.25">
      <c r="A21">
        <v>10.5</v>
      </c>
      <c r="B21">
        <v>0.43292641900000001</v>
      </c>
    </row>
    <row r="22" spans="1:2" x14ac:dyDescent="0.25">
      <c r="A22">
        <v>11</v>
      </c>
      <c r="B22">
        <v>0.44310755000000002</v>
      </c>
    </row>
    <row r="23" spans="1:2" x14ac:dyDescent="0.25">
      <c r="A23">
        <v>11.5</v>
      </c>
      <c r="B23">
        <v>0.45305995780000002</v>
      </c>
    </row>
    <row r="24" spans="1:2" x14ac:dyDescent="0.25">
      <c r="A24">
        <v>12</v>
      </c>
      <c r="B24">
        <v>0.46279839</v>
      </c>
    </row>
    <row r="25" spans="1:2" x14ac:dyDescent="0.25">
      <c r="A25">
        <v>12.5</v>
      </c>
      <c r="B25">
        <v>0.47233608300000002</v>
      </c>
    </row>
    <row r="26" spans="1:2" x14ac:dyDescent="0.25">
      <c r="A26">
        <v>13</v>
      </c>
      <c r="B26">
        <v>0.48168495</v>
      </c>
    </row>
    <row r="27" spans="1:2" x14ac:dyDescent="0.25">
      <c r="A27">
        <v>13.5</v>
      </c>
      <c r="B27">
        <v>0.49085580000000001</v>
      </c>
    </row>
    <row r="28" spans="1:2" x14ac:dyDescent="0.25">
      <c r="A28">
        <v>14</v>
      </c>
      <c r="B28">
        <v>0.49985844000000001</v>
      </c>
    </row>
    <row r="29" spans="1:2" x14ac:dyDescent="0.25">
      <c r="A29">
        <v>14.5</v>
      </c>
      <c r="B29">
        <v>0.50870176499999997</v>
      </c>
    </row>
    <row r="30" spans="1:2" x14ac:dyDescent="0.25">
      <c r="A30">
        <v>15</v>
      </c>
      <c r="B30">
        <v>0.51739394999999999</v>
      </c>
    </row>
    <row r="31" spans="1:2" x14ac:dyDescent="0.25">
      <c r="A31">
        <v>15.5</v>
      </c>
      <c r="B31">
        <v>0.525942511</v>
      </c>
    </row>
    <row r="32" spans="1:2" x14ac:dyDescent="0.25">
      <c r="A32">
        <v>16</v>
      </c>
      <c r="B32">
        <v>0.53435432999999999</v>
      </c>
    </row>
    <row r="33" spans="1:2" x14ac:dyDescent="0.25">
      <c r="A33">
        <v>16.5</v>
      </c>
      <c r="B33">
        <v>0.54263576700000005</v>
      </c>
    </row>
    <row r="34" spans="1:2" x14ac:dyDescent="0.25">
      <c r="A34">
        <v>17</v>
      </c>
      <c r="B34">
        <v>0.55079268999999997</v>
      </c>
    </row>
    <row r="35" spans="1:2" x14ac:dyDescent="0.25">
      <c r="A35">
        <v>17.5</v>
      </c>
      <c r="B35">
        <v>0.55883057599999997</v>
      </c>
    </row>
    <row r="36" spans="1:2" x14ac:dyDescent="0.25">
      <c r="A36">
        <v>18</v>
      </c>
      <c r="B36">
        <v>0.56675452000000004</v>
      </c>
    </row>
    <row r="37" spans="1:2" x14ac:dyDescent="0.25">
      <c r="A37">
        <v>18.5</v>
      </c>
      <c r="B37">
        <v>0.574569153</v>
      </c>
    </row>
    <row r="38" spans="1:2" x14ac:dyDescent="0.25">
      <c r="A38">
        <v>19</v>
      </c>
      <c r="B38">
        <v>0.58227890999999998</v>
      </c>
    </row>
    <row r="39" spans="1:2" x14ac:dyDescent="0.25">
      <c r="A39">
        <v>19.5</v>
      </c>
      <c r="B39">
        <v>0.58988791699999998</v>
      </c>
    </row>
    <row r="40" spans="1:2" x14ac:dyDescent="0.25">
      <c r="A40">
        <v>20</v>
      </c>
      <c r="B40">
        <v>0.59740000999999998</v>
      </c>
    </row>
    <row r="41" spans="1:2" x14ac:dyDescent="0.25">
      <c r="A41">
        <v>20.5</v>
      </c>
      <c r="B41">
        <v>0.60481881400000004</v>
      </c>
    </row>
    <row r="42" spans="1:2" x14ac:dyDescent="0.25">
      <c r="A42">
        <v>21</v>
      </c>
      <c r="B42">
        <v>0.61215728999999997</v>
      </c>
    </row>
    <row r="43" spans="1:2" x14ac:dyDescent="0.25">
      <c r="A43">
        <v>21.5</v>
      </c>
      <c r="B43">
        <v>0.61939936500000004</v>
      </c>
    </row>
    <row r="44" spans="1:2" x14ac:dyDescent="0.25">
      <c r="A44">
        <v>22</v>
      </c>
      <c r="B44">
        <v>0.62656712999999997</v>
      </c>
    </row>
    <row r="45" spans="1:2" x14ac:dyDescent="0.25">
      <c r="A45">
        <v>22.5</v>
      </c>
      <c r="B45">
        <v>0.63364453300000001</v>
      </c>
    </row>
    <row r="46" spans="1:2" x14ac:dyDescent="0.25">
      <c r="A46">
        <v>23</v>
      </c>
      <c r="B46">
        <v>0.64065295</v>
      </c>
    </row>
    <row r="47" spans="1:2" x14ac:dyDescent="0.25">
      <c r="A47">
        <v>23.5</v>
      </c>
      <c r="B47">
        <v>0.64757642599999998</v>
      </c>
    </row>
    <row r="48" spans="1:2" x14ac:dyDescent="0.25">
      <c r="A48">
        <v>24</v>
      </c>
      <c r="B48">
        <v>0.65443563000000005</v>
      </c>
    </row>
    <row r="49" spans="1:2" x14ac:dyDescent="0.25">
      <c r="A49">
        <v>24.5</v>
      </c>
      <c r="B49">
        <v>0.66121480600000004</v>
      </c>
    </row>
    <row r="50" spans="1:2" x14ac:dyDescent="0.25">
      <c r="A50">
        <v>25</v>
      </c>
      <c r="B50">
        <v>0.66793400000000003</v>
      </c>
    </row>
    <row r="51" spans="1:2" x14ac:dyDescent="0.25">
      <c r="A51">
        <v>25.5</v>
      </c>
      <c r="B51">
        <v>0.674577537</v>
      </c>
    </row>
    <row r="52" spans="1:2" x14ac:dyDescent="0.25">
      <c r="A52">
        <v>26</v>
      </c>
      <c r="B52">
        <v>0.68116491999999995</v>
      </c>
    </row>
    <row r="53" spans="1:2" x14ac:dyDescent="0.25">
      <c r="A53">
        <v>26.5</v>
      </c>
      <c r="B53">
        <v>0.68768064799999995</v>
      </c>
    </row>
    <row r="54" spans="1:2" x14ac:dyDescent="0.25">
      <c r="A54">
        <v>27</v>
      </c>
      <c r="B54">
        <v>0.69414365</v>
      </c>
    </row>
    <row r="55" spans="1:2" x14ac:dyDescent="0.25">
      <c r="A55">
        <v>27.5</v>
      </c>
      <c r="B55">
        <v>0.70053867299999995</v>
      </c>
    </row>
    <row r="56" spans="1:2" x14ac:dyDescent="0.25">
      <c r="A56">
        <v>28</v>
      </c>
      <c r="B56">
        <v>0.70688421000000001</v>
      </c>
    </row>
    <row r="57" spans="1:2" x14ac:dyDescent="0.25">
      <c r="A57">
        <v>28.5</v>
      </c>
      <c r="B57">
        <v>0.71316499600000005</v>
      </c>
    </row>
    <row r="58" spans="1:2" x14ac:dyDescent="0.25">
      <c r="A58">
        <v>29</v>
      </c>
      <c r="B58">
        <v>0.71939909000000002</v>
      </c>
    </row>
    <row r="59" spans="1:2" x14ac:dyDescent="0.25">
      <c r="A59">
        <v>29.5</v>
      </c>
      <c r="B59">
        <v>0.72557155200000001</v>
      </c>
    </row>
    <row r="60" spans="1:2" x14ac:dyDescent="0.25">
      <c r="A60">
        <v>30</v>
      </c>
      <c r="B60">
        <v>0.73170000000000002</v>
      </c>
    </row>
    <row r="61" spans="1:2" x14ac:dyDescent="0.25">
      <c r="A61">
        <v>30.5</v>
      </c>
      <c r="B61">
        <v>0.73474100899999994</v>
      </c>
    </row>
    <row r="62" spans="1:2" x14ac:dyDescent="0.25">
      <c r="A62">
        <v>31</v>
      </c>
      <c r="B62">
        <v>0.73776947999999998</v>
      </c>
    </row>
    <row r="63" spans="1:2" x14ac:dyDescent="0.25">
      <c r="A63">
        <v>31.5</v>
      </c>
      <c r="B63">
        <v>0.740785574</v>
      </c>
    </row>
    <row r="64" spans="1:2" x14ac:dyDescent="0.25">
      <c r="A64">
        <v>32</v>
      </c>
      <c r="B64">
        <v>0.74378942999999997</v>
      </c>
    </row>
    <row r="65" spans="1:2" x14ac:dyDescent="0.25">
      <c r="A65">
        <v>32.5</v>
      </c>
      <c r="B65">
        <v>0.74678121099999994</v>
      </c>
    </row>
    <row r="66" spans="1:2" x14ac:dyDescent="0.25">
      <c r="A66">
        <v>33</v>
      </c>
      <c r="B66">
        <v>0.74976103999999999</v>
      </c>
    </row>
    <row r="67" spans="1:2" x14ac:dyDescent="0.25">
      <c r="A67">
        <v>33.5</v>
      </c>
      <c r="B67">
        <v>0.75272908699999996</v>
      </c>
    </row>
    <row r="68" spans="1:2" x14ac:dyDescent="0.25">
      <c r="A68">
        <v>34</v>
      </c>
      <c r="B68">
        <v>0.75568550999999995</v>
      </c>
    </row>
    <row r="69" spans="1:2" x14ac:dyDescent="0.25">
      <c r="A69">
        <v>34.5</v>
      </c>
      <c r="B69">
        <v>0.75863037799999999</v>
      </c>
    </row>
    <row r="70" spans="1:2" x14ac:dyDescent="0.25">
      <c r="A70">
        <v>35</v>
      </c>
      <c r="B70">
        <v>0.76156383999999999</v>
      </c>
    </row>
    <row r="71" spans="1:2" x14ac:dyDescent="0.25">
      <c r="A71">
        <v>35.5</v>
      </c>
      <c r="B71">
        <v>0.76448606500000005</v>
      </c>
    </row>
    <row r="72" spans="1:2" x14ac:dyDescent="0.25">
      <c r="A72">
        <v>36</v>
      </c>
      <c r="B72">
        <v>0.76739716999999996</v>
      </c>
    </row>
    <row r="73" spans="1:2" x14ac:dyDescent="0.25">
      <c r="A73">
        <v>36.5</v>
      </c>
      <c r="B73">
        <v>0.77029726600000004</v>
      </c>
    </row>
    <row r="74" spans="1:2" x14ac:dyDescent="0.25">
      <c r="A74">
        <v>37</v>
      </c>
      <c r="B74">
        <v>0.7731865</v>
      </c>
    </row>
    <row r="75" spans="1:2" x14ac:dyDescent="0.25">
      <c r="A75">
        <v>37.5</v>
      </c>
      <c r="B75">
        <v>0.77606496199999997</v>
      </c>
    </row>
    <row r="76" spans="1:2" x14ac:dyDescent="0.25">
      <c r="A76">
        <v>38</v>
      </c>
      <c r="B76">
        <v>0.77893274999999995</v>
      </c>
    </row>
    <row r="77" spans="1:2" x14ac:dyDescent="0.25">
      <c r="A77">
        <v>38.5</v>
      </c>
      <c r="B77">
        <v>0.78179005499999998</v>
      </c>
    </row>
    <row r="78" spans="1:2" x14ac:dyDescent="0.25">
      <c r="A78">
        <v>39</v>
      </c>
      <c r="B78">
        <v>0.78463696999999999</v>
      </c>
    </row>
    <row r="79" spans="1:2" x14ac:dyDescent="0.25">
      <c r="A79">
        <v>39.5</v>
      </c>
      <c r="B79">
        <v>0.78747357799999995</v>
      </c>
    </row>
    <row r="80" spans="1:2" x14ac:dyDescent="0.25">
      <c r="A80">
        <v>40</v>
      </c>
      <c r="B80">
        <v>0.79030001000000005</v>
      </c>
    </row>
  </sheetData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06"/>
  <sheetViews>
    <sheetView tabSelected="1" workbookViewId="0"/>
  </sheetViews>
  <sheetFormatPr defaultRowHeight="15" x14ac:dyDescent="0.25"/>
  <sheetData>
    <row r="1" spans="1:10" x14ac:dyDescent="0.25">
      <c r="B1" t="s">
        <v>2052</v>
      </c>
      <c r="C1" t="s">
        <v>2053</v>
      </c>
      <c r="D1" t="s">
        <v>2054</v>
      </c>
      <c r="E1" t="s">
        <v>2055</v>
      </c>
      <c r="F1" t="s">
        <v>2056</v>
      </c>
      <c r="G1" t="s">
        <v>2057</v>
      </c>
      <c r="H1" t="s">
        <v>2058</v>
      </c>
      <c r="I1" t="s">
        <v>2059</v>
      </c>
    </row>
    <row r="2" spans="1:10" x14ac:dyDescent="0.25">
      <c r="B2">
        <v>1</v>
      </c>
      <c r="C2" t="s">
        <v>799</v>
      </c>
      <c r="D2" t="s">
        <v>184</v>
      </c>
      <c r="E2" t="s">
        <v>800</v>
      </c>
      <c r="F2">
        <v>1115</v>
      </c>
      <c r="G2">
        <v>118</v>
      </c>
      <c r="H2">
        <v>111</v>
      </c>
      <c r="I2">
        <v>128</v>
      </c>
      <c r="J2">
        <v>1</v>
      </c>
    </row>
    <row r="11" spans="1:10" x14ac:dyDescent="0.25">
      <c r="A11">
        <v>2</v>
      </c>
    </row>
    <row r="12" spans="1:10" x14ac:dyDescent="0.25">
      <c r="A12" t="s">
        <v>801</v>
      </c>
    </row>
    <row r="13" spans="1:10" x14ac:dyDescent="0.25">
      <c r="A13" t="s">
        <v>185</v>
      </c>
    </row>
    <row r="14" spans="1:10" x14ac:dyDescent="0.25">
      <c r="A14" t="s">
        <v>800</v>
      </c>
    </row>
    <row r="15" spans="1:10" x14ac:dyDescent="0.25">
      <c r="A15">
        <v>1699</v>
      </c>
    </row>
    <row r="16" spans="1:10" x14ac:dyDescent="0.25">
      <c r="A16">
        <v>151</v>
      </c>
    </row>
    <row r="17" spans="1:1" x14ac:dyDescent="0.25">
      <c r="A17">
        <v>143</v>
      </c>
    </row>
    <row r="18" spans="1:1" x14ac:dyDescent="0.25">
      <c r="A18">
        <v>155</v>
      </c>
    </row>
    <row r="19" spans="1:1" x14ac:dyDescent="0.25">
      <c r="A19">
        <v>1</v>
      </c>
    </row>
    <row r="20" spans="1:1" x14ac:dyDescent="0.25">
      <c r="A20">
        <v>3</v>
      </c>
    </row>
    <row r="21" spans="1:1" x14ac:dyDescent="0.25">
      <c r="A21" t="s">
        <v>802</v>
      </c>
    </row>
    <row r="22" spans="1:1" x14ac:dyDescent="0.25">
      <c r="A22" t="s">
        <v>186</v>
      </c>
    </row>
    <row r="23" spans="1:1" x14ac:dyDescent="0.25">
      <c r="A23" t="s">
        <v>800</v>
      </c>
    </row>
    <row r="24" spans="1:1" x14ac:dyDescent="0.25">
      <c r="A24">
        <v>2720</v>
      </c>
    </row>
    <row r="25" spans="1:1" x14ac:dyDescent="0.25">
      <c r="A25">
        <v>198</v>
      </c>
    </row>
    <row r="26" spans="1:1" x14ac:dyDescent="0.25">
      <c r="A26">
        <v>189</v>
      </c>
    </row>
    <row r="27" spans="1:1" x14ac:dyDescent="0.25">
      <c r="A27">
        <v>190</v>
      </c>
    </row>
    <row r="28" spans="1:1" x14ac:dyDescent="0.25">
      <c r="A28">
        <v>1</v>
      </c>
    </row>
    <row r="29" spans="1:1" x14ac:dyDescent="0.25">
      <c r="A29">
        <v>4</v>
      </c>
    </row>
    <row r="30" spans="1:1" x14ac:dyDescent="0.25">
      <c r="A30" t="s">
        <v>803</v>
      </c>
    </row>
    <row r="31" spans="1:1" x14ac:dyDescent="0.25">
      <c r="A31" t="s">
        <v>187</v>
      </c>
    </row>
    <row r="32" spans="1:1" x14ac:dyDescent="0.25">
      <c r="A32" t="s">
        <v>804</v>
      </c>
    </row>
    <row r="33" spans="1:1" x14ac:dyDescent="0.25">
      <c r="A33">
        <v>980</v>
      </c>
    </row>
    <row r="34" spans="1:1" x14ac:dyDescent="0.25">
      <c r="A34">
        <v>116</v>
      </c>
    </row>
    <row r="35" spans="1:1" x14ac:dyDescent="0.25">
      <c r="A35">
        <v>93</v>
      </c>
    </row>
    <row r="36" spans="1:1" x14ac:dyDescent="0.25">
      <c r="A36">
        <v>118</v>
      </c>
    </row>
    <row r="37" spans="1:1" x14ac:dyDescent="0.25">
      <c r="A37">
        <v>1</v>
      </c>
    </row>
    <row r="38" spans="1:1" x14ac:dyDescent="0.25">
      <c r="A38">
        <v>5</v>
      </c>
    </row>
    <row r="39" spans="1:1" x14ac:dyDescent="0.25">
      <c r="A39" t="s">
        <v>805</v>
      </c>
    </row>
    <row r="40" spans="1:1" x14ac:dyDescent="0.25">
      <c r="A40" t="s">
        <v>188</v>
      </c>
    </row>
    <row r="41" spans="1:1" x14ac:dyDescent="0.25">
      <c r="A41" t="s">
        <v>804</v>
      </c>
    </row>
    <row r="42" spans="1:1" x14ac:dyDescent="0.25">
      <c r="A42">
        <v>1653</v>
      </c>
    </row>
    <row r="43" spans="1:1" x14ac:dyDescent="0.25">
      <c r="A43">
        <v>158</v>
      </c>
    </row>
    <row r="44" spans="1:1" x14ac:dyDescent="0.25">
      <c r="A44">
        <v>126</v>
      </c>
    </row>
    <row r="45" spans="1:1" x14ac:dyDescent="0.25">
      <c r="A45">
        <v>151</v>
      </c>
    </row>
    <row r="46" spans="1:1" x14ac:dyDescent="0.25">
      <c r="A46">
        <v>1</v>
      </c>
    </row>
    <row r="47" spans="1:1" x14ac:dyDescent="0.25">
      <c r="A47">
        <v>6</v>
      </c>
    </row>
    <row r="48" spans="1:1" x14ac:dyDescent="0.25">
      <c r="A48" t="s">
        <v>806</v>
      </c>
    </row>
    <row r="49" spans="1:1" x14ac:dyDescent="0.25">
      <c r="A49" t="s">
        <v>189</v>
      </c>
    </row>
    <row r="50" spans="1:1" x14ac:dyDescent="0.25">
      <c r="A50" t="s">
        <v>807</v>
      </c>
    </row>
    <row r="51" spans="1:1" x14ac:dyDescent="0.25">
      <c r="A51">
        <v>2889</v>
      </c>
    </row>
    <row r="52" spans="1:1" x14ac:dyDescent="0.25">
      <c r="A52">
        <v>223</v>
      </c>
    </row>
    <row r="53" spans="1:1" x14ac:dyDescent="0.25">
      <c r="A53">
        <v>173</v>
      </c>
    </row>
    <row r="54" spans="1:1" x14ac:dyDescent="0.25">
      <c r="A54">
        <v>186</v>
      </c>
    </row>
    <row r="55" spans="1:1" x14ac:dyDescent="0.25">
      <c r="A55">
        <v>1</v>
      </c>
    </row>
    <row r="56" spans="1:1" x14ac:dyDescent="0.25">
      <c r="A56">
        <v>7</v>
      </c>
    </row>
    <row r="57" spans="1:1" x14ac:dyDescent="0.25">
      <c r="A57" t="s">
        <v>808</v>
      </c>
    </row>
    <row r="58" spans="1:1" x14ac:dyDescent="0.25">
      <c r="A58" t="s">
        <v>190</v>
      </c>
    </row>
    <row r="59" spans="1:1" x14ac:dyDescent="0.25">
      <c r="A59" t="s">
        <v>809</v>
      </c>
    </row>
    <row r="60" spans="1:1" x14ac:dyDescent="0.25">
      <c r="A60">
        <v>946</v>
      </c>
    </row>
    <row r="61" spans="1:1" x14ac:dyDescent="0.25">
      <c r="A61">
        <v>94</v>
      </c>
    </row>
    <row r="62" spans="1:1" x14ac:dyDescent="0.25">
      <c r="A62">
        <v>121</v>
      </c>
    </row>
    <row r="63" spans="1:1" x14ac:dyDescent="0.25">
      <c r="A63">
        <v>127</v>
      </c>
    </row>
    <row r="64" spans="1:1" x14ac:dyDescent="0.25">
      <c r="A64">
        <v>1</v>
      </c>
    </row>
    <row r="65" spans="1:1" x14ac:dyDescent="0.25">
      <c r="A65">
        <v>8</v>
      </c>
    </row>
    <row r="66" spans="1:1" x14ac:dyDescent="0.25">
      <c r="A66" t="s">
        <v>810</v>
      </c>
    </row>
    <row r="67" spans="1:1" x14ac:dyDescent="0.25">
      <c r="A67" t="s">
        <v>191</v>
      </c>
    </row>
    <row r="68" spans="1:1" x14ac:dyDescent="0.25">
      <c r="A68" t="s">
        <v>809</v>
      </c>
    </row>
    <row r="69" spans="1:1" x14ac:dyDescent="0.25">
      <c r="A69">
        <v>1488</v>
      </c>
    </row>
    <row r="70" spans="1:1" x14ac:dyDescent="0.25">
      <c r="A70">
        <v>126</v>
      </c>
    </row>
    <row r="71" spans="1:1" x14ac:dyDescent="0.25">
      <c r="A71">
        <v>155</v>
      </c>
    </row>
    <row r="72" spans="1:1" x14ac:dyDescent="0.25">
      <c r="A72">
        <v>153</v>
      </c>
    </row>
    <row r="73" spans="1:1" x14ac:dyDescent="0.25">
      <c r="A73">
        <v>1</v>
      </c>
    </row>
    <row r="74" spans="1:1" x14ac:dyDescent="0.25">
      <c r="A74">
        <v>9</v>
      </c>
    </row>
    <row r="75" spans="1:1" x14ac:dyDescent="0.25">
      <c r="A75" t="s">
        <v>811</v>
      </c>
    </row>
    <row r="76" spans="1:1" x14ac:dyDescent="0.25">
      <c r="A76" t="s">
        <v>192</v>
      </c>
    </row>
    <row r="77" spans="1:1" x14ac:dyDescent="0.25">
      <c r="A77" t="s">
        <v>809</v>
      </c>
    </row>
    <row r="78" spans="1:1" x14ac:dyDescent="0.25">
      <c r="A78">
        <v>2466</v>
      </c>
    </row>
    <row r="79" spans="1:1" x14ac:dyDescent="0.25">
      <c r="A79">
        <v>171</v>
      </c>
    </row>
    <row r="80" spans="1:1" x14ac:dyDescent="0.25">
      <c r="A80">
        <v>207</v>
      </c>
    </row>
    <row r="81" spans="1:1" x14ac:dyDescent="0.25">
      <c r="A81">
        <v>188</v>
      </c>
    </row>
    <row r="82" spans="1:1" x14ac:dyDescent="0.25">
      <c r="A82">
        <v>1</v>
      </c>
    </row>
    <row r="83" spans="1:1" x14ac:dyDescent="0.25">
      <c r="A83">
        <v>10</v>
      </c>
    </row>
    <row r="84" spans="1:1" x14ac:dyDescent="0.25">
      <c r="A84" t="s">
        <v>812</v>
      </c>
    </row>
    <row r="85" spans="1:1" x14ac:dyDescent="0.25">
      <c r="A85" t="s">
        <v>90</v>
      </c>
    </row>
    <row r="86" spans="1:1" x14ac:dyDescent="0.25">
      <c r="A86" t="s">
        <v>813</v>
      </c>
    </row>
    <row r="87" spans="1:1" x14ac:dyDescent="0.25">
      <c r="A87">
        <v>437</v>
      </c>
    </row>
    <row r="88" spans="1:1" x14ac:dyDescent="0.25">
      <c r="A88">
        <v>55</v>
      </c>
    </row>
    <row r="89" spans="1:1" x14ac:dyDescent="0.25">
      <c r="A89">
        <v>55</v>
      </c>
    </row>
    <row r="90" spans="1:1" x14ac:dyDescent="0.25">
      <c r="A90">
        <v>128</v>
      </c>
    </row>
    <row r="91" spans="1:1" x14ac:dyDescent="0.25">
      <c r="A91">
        <v>1</v>
      </c>
    </row>
    <row r="92" spans="1:1" x14ac:dyDescent="0.25">
      <c r="A92">
        <v>11</v>
      </c>
    </row>
    <row r="93" spans="1:1" x14ac:dyDescent="0.25">
      <c r="A93" t="s">
        <v>814</v>
      </c>
    </row>
    <row r="94" spans="1:1" x14ac:dyDescent="0.25">
      <c r="A94" t="s">
        <v>91</v>
      </c>
    </row>
    <row r="95" spans="1:1" x14ac:dyDescent="0.25">
      <c r="A95" t="s">
        <v>813</v>
      </c>
    </row>
    <row r="96" spans="1:1" x14ac:dyDescent="0.25">
      <c r="A96">
        <v>450</v>
      </c>
    </row>
    <row r="97" spans="1:1" x14ac:dyDescent="0.25">
      <c r="A97">
        <v>45</v>
      </c>
    </row>
    <row r="98" spans="1:1" x14ac:dyDescent="0.25">
      <c r="A98">
        <v>80</v>
      </c>
    </row>
    <row r="99" spans="1:1" x14ac:dyDescent="0.25">
      <c r="A99">
        <v>137</v>
      </c>
    </row>
    <row r="100" spans="1:1" x14ac:dyDescent="0.25">
      <c r="A100">
        <v>1</v>
      </c>
    </row>
    <row r="101" spans="1:1" x14ac:dyDescent="0.25">
      <c r="A101">
        <v>12</v>
      </c>
    </row>
    <row r="102" spans="1:1" x14ac:dyDescent="0.25">
      <c r="A102" t="s">
        <v>815</v>
      </c>
    </row>
    <row r="103" spans="1:1" x14ac:dyDescent="0.25">
      <c r="A103" t="s">
        <v>92</v>
      </c>
    </row>
    <row r="104" spans="1:1" x14ac:dyDescent="0.25">
      <c r="A104" t="s">
        <v>816</v>
      </c>
    </row>
    <row r="105" spans="1:1" x14ac:dyDescent="0.25">
      <c r="A105">
        <v>1827</v>
      </c>
    </row>
    <row r="106" spans="1:1" x14ac:dyDescent="0.25">
      <c r="A106">
        <v>167</v>
      </c>
    </row>
    <row r="107" spans="1:1" x14ac:dyDescent="0.25">
      <c r="A107">
        <v>137</v>
      </c>
    </row>
    <row r="108" spans="1:1" x14ac:dyDescent="0.25">
      <c r="A108">
        <v>155</v>
      </c>
    </row>
    <row r="109" spans="1:1" x14ac:dyDescent="0.25">
      <c r="A109">
        <v>1</v>
      </c>
    </row>
    <row r="110" spans="1:1" x14ac:dyDescent="0.25">
      <c r="A110">
        <v>13</v>
      </c>
    </row>
    <row r="111" spans="1:1" x14ac:dyDescent="0.25">
      <c r="A111" t="s">
        <v>817</v>
      </c>
    </row>
    <row r="112" spans="1:1" x14ac:dyDescent="0.25">
      <c r="A112" t="s">
        <v>93</v>
      </c>
    </row>
    <row r="113" spans="1:1" x14ac:dyDescent="0.25">
      <c r="A113" t="s">
        <v>818</v>
      </c>
    </row>
    <row r="114" spans="1:1" x14ac:dyDescent="0.25">
      <c r="A114">
        <v>456</v>
      </c>
    </row>
    <row r="115" spans="1:1" x14ac:dyDescent="0.25">
      <c r="A115">
        <v>63</v>
      </c>
    </row>
    <row r="116" spans="1:1" x14ac:dyDescent="0.25">
      <c r="A116">
        <v>50</v>
      </c>
    </row>
    <row r="117" spans="1:1" x14ac:dyDescent="0.25">
      <c r="A117">
        <v>120</v>
      </c>
    </row>
    <row r="118" spans="1:1" x14ac:dyDescent="0.25">
      <c r="A118">
        <v>1</v>
      </c>
    </row>
    <row r="119" spans="1:1" x14ac:dyDescent="0.25">
      <c r="A119">
        <v>14</v>
      </c>
    </row>
    <row r="120" spans="1:1" x14ac:dyDescent="0.25">
      <c r="A120" t="s">
        <v>819</v>
      </c>
    </row>
    <row r="121" spans="1:1" x14ac:dyDescent="0.25">
      <c r="A121" t="s">
        <v>94</v>
      </c>
    </row>
    <row r="122" spans="1:1" x14ac:dyDescent="0.25">
      <c r="A122" t="s">
        <v>818</v>
      </c>
    </row>
    <row r="123" spans="1:1" x14ac:dyDescent="0.25">
      <c r="A123">
        <v>432</v>
      </c>
    </row>
    <row r="124" spans="1:1" x14ac:dyDescent="0.25">
      <c r="A124">
        <v>46</v>
      </c>
    </row>
    <row r="125" spans="1:1" x14ac:dyDescent="0.25">
      <c r="A125">
        <v>75</v>
      </c>
    </row>
    <row r="126" spans="1:1" x14ac:dyDescent="0.25">
      <c r="A126">
        <v>128</v>
      </c>
    </row>
    <row r="127" spans="1:1" x14ac:dyDescent="0.25">
      <c r="A127">
        <v>1</v>
      </c>
    </row>
    <row r="128" spans="1:1" x14ac:dyDescent="0.25">
      <c r="A128">
        <v>15</v>
      </c>
    </row>
    <row r="129" spans="1:1" x14ac:dyDescent="0.25">
      <c r="A129" t="s">
        <v>820</v>
      </c>
    </row>
    <row r="130" spans="1:1" x14ac:dyDescent="0.25">
      <c r="A130" t="s">
        <v>95</v>
      </c>
    </row>
    <row r="131" spans="1:1" x14ac:dyDescent="0.25">
      <c r="A131" t="s">
        <v>818</v>
      </c>
    </row>
    <row r="132" spans="1:1" x14ac:dyDescent="0.25">
      <c r="A132">
        <v>1846</v>
      </c>
    </row>
    <row r="133" spans="1:1" x14ac:dyDescent="0.25">
      <c r="A133">
        <v>169</v>
      </c>
    </row>
    <row r="134" spans="1:1" x14ac:dyDescent="0.25">
      <c r="A134">
        <v>130</v>
      </c>
    </row>
    <row r="135" spans="1:1" x14ac:dyDescent="0.25">
      <c r="A135">
        <v>163</v>
      </c>
    </row>
    <row r="136" spans="1:1" x14ac:dyDescent="0.25">
      <c r="A136">
        <v>1</v>
      </c>
    </row>
    <row r="137" spans="1:1" x14ac:dyDescent="0.25">
      <c r="A137">
        <v>16</v>
      </c>
    </row>
    <row r="138" spans="1:1" x14ac:dyDescent="0.25">
      <c r="A138" t="s">
        <v>821</v>
      </c>
    </row>
    <row r="139" spans="1:1" x14ac:dyDescent="0.25">
      <c r="A139" t="s">
        <v>96</v>
      </c>
    </row>
    <row r="140" spans="1:1" x14ac:dyDescent="0.25">
      <c r="A140" t="s">
        <v>822</v>
      </c>
    </row>
    <row r="141" spans="1:1" x14ac:dyDescent="0.25">
      <c r="A141">
        <v>680</v>
      </c>
    </row>
    <row r="142" spans="1:1" x14ac:dyDescent="0.25">
      <c r="A142">
        <v>85</v>
      </c>
    </row>
    <row r="143" spans="1:1" x14ac:dyDescent="0.25">
      <c r="A143">
        <v>73</v>
      </c>
    </row>
    <row r="144" spans="1:1" x14ac:dyDescent="0.25">
      <c r="A144">
        <v>120</v>
      </c>
    </row>
    <row r="145" spans="1:1" x14ac:dyDescent="0.25">
      <c r="A145">
        <v>1</v>
      </c>
    </row>
    <row r="146" spans="1:1" x14ac:dyDescent="0.25">
      <c r="A146">
        <v>17</v>
      </c>
    </row>
    <row r="147" spans="1:1" x14ac:dyDescent="0.25">
      <c r="A147" t="s">
        <v>823</v>
      </c>
    </row>
    <row r="148" spans="1:1" x14ac:dyDescent="0.25">
      <c r="A148" t="s">
        <v>97</v>
      </c>
    </row>
    <row r="149" spans="1:1" x14ac:dyDescent="0.25">
      <c r="A149" t="s">
        <v>822</v>
      </c>
    </row>
    <row r="150" spans="1:1" x14ac:dyDescent="0.25">
      <c r="A150">
        <v>1194</v>
      </c>
    </row>
    <row r="151" spans="1:1" x14ac:dyDescent="0.25">
      <c r="A151">
        <v>117</v>
      </c>
    </row>
    <row r="152" spans="1:1" x14ac:dyDescent="0.25">
      <c r="A152">
        <v>105</v>
      </c>
    </row>
    <row r="153" spans="1:1" x14ac:dyDescent="0.25">
      <c r="A153">
        <v>160</v>
      </c>
    </row>
    <row r="154" spans="1:1" x14ac:dyDescent="0.25">
      <c r="A154">
        <v>1</v>
      </c>
    </row>
    <row r="155" spans="1:1" x14ac:dyDescent="0.25">
      <c r="A155">
        <v>18</v>
      </c>
    </row>
    <row r="156" spans="1:1" x14ac:dyDescent="0.25">
      <c r="A156" t="s">
        <v>824</v>
      </c>
    </row>
    <row r="157" spans="1:1" x14ac:dyDescent="0.25">
      <c r="A157" t="s">
        <v>98</v>
      </c>
    </row>
    <row r="158" spans="1:1" x14ac:dyDescent="0.25">
      <c r="A158" t="s">
        <v>822</v>
      </c>
    </row>
    <row r="159" spans="1:1" x14ac:dyDescent="0.25">
      <c r="A159">
        <v>2129</v>
      </c>
    </row>
    <row r="160" spans="1:1" x14ac:dyDescent="0.25">
      <c r="A160">
        <v>166</v>
      </c>
    </row>
    <row r="161" spans="1:1" x14ac:dyDescent="0.25">
      <c r="A161">
        <v>154</v>
      </c>
    </row>
    <row r="162" spans="1:1" x14ac:dyDescent="0.25">
      <c r="A162">
        <v>195</v>
      </c>
    </row>
    <row r="163" spans="1:1" x14ac:dyDescent="0.25">
      <c r="A163">
        <v>1</v>
      </c>
    </row>
    <row r="164" spans="1:1" x14ac:dyDescent="0.25">
      <c r="A164">
        <v>19</v>
      </c>
    </row>
    <row r="165" spans="1:1" x14ac:dyDescent="0.25">
      <c r="A165" t="s">
        <v>825</v>
      </c>
    </row>
    <row r="166" spans="1:1" x14ac:dyDescent="0.25">
      <c r="A166" t="s">
        <v>99</v>
      </c>
    </row>
    <row r="167" spans="1:1" x14ac:dyDescent="0.25">
      <c r="A167" t="s">
        <v>826</v>
      </c>
    </row>
    <row r="168" spans="1:1" x14ac:dyDescent="0.25">
      <c r="A168">
        <v>734</v>
      </c>
    </row>
    <row r="169" spans="1:1" x14ac:dyDescent="0.25">
      <c r="A169">
        <v>103</v>
      </c>
    </row>
    <row r="170" spans="1:1" x14ac:dyDescent="0.25">
      <c r="A170">
        <v>70</v>
      </c>
    </row>
    <row r="171" spans="1:1" x14ac:dyDescent="0.25">
      <c r="A171">
        <v>102</v>
      </c>
    </row>
    <row r="172" spans="1:1" x14ac:dyDescent="0.25">
      <c r="A172">
        <v>1</v>
      </c>
    </row>
    <row r="173" spans="1:1" x14ac:dyDescent="0.25">
      <c r="A173">
        <v>19</v>
      </c>
    </row>
    <row r="174" spans="1:1" x14ac:dyDescent="0.25">
      <c r="A174" t="s">
        <v>827</v>
      </c>
    </row>
    <row r="175" spans="1:1" x14ac:dyDescent="0.25">
      <c r="A175" t="s">
        <v>828</v>
      </c>
    </row>
    <row r="176" spans="1:1" x14ac:dyDescent="0.25">
      <c r="A176" t="s">
        <v>829</v>
      </c>
    </row>
    <row r="177" spans="1:1" x14ac:dyDescent="0.25">
      <c r="A177">
        <v>734</v>
      </c>
    </row>
    <row r="178" spans="1:1" x14ac:dyDescent="0.25">
      <c r="A178">
        <v>103</v>
      </c>
    </row>
    <row r="179" spans="1:1" x14ac:dyDescent="0.25">
      <c r="A179">
        <v>70</v>
      </c>
    </row>
    <row r="180" spans="1:1" x14ac:dyDescent="0.25">
      <c r="A180">
        <v>102</v>
      </c>
    </row>
    <row r="181" spans="1:1" x14ac:dyDescent="0.25">
      <c r="A181">
        <v>1</v>
      </c>
    </row>
    <row r="182" spans="1:1" x14ac:dyDescent="0.25">
      <c r="A182">
        <v>20</v>
      </c>
    </row>
    <row r="183" spans="1:1" x14ac:dyDescent="0.25">
      <c r="A183" t="s">
        <v>830</v>
      </c>
    </row>
    <row r="184" spans="1:1" x14ac:dyDescent="0.25">
      <c r="A184" t="s">
        <v>100</v>
      </c>
    </row>
    <row r="185" spans="1:1" x14ac:dyDescent="0.25">
      <c r="A185" t="s">
        <v>826</v>
      </c>
    </row>
    <row r="186" spans="1:1" x14ac:dyDescent="0.25">
      <c r="A186">
        <v>1730</v>
      </c>
    </row>
    <row r="187" spans="1:1" x14ac:dyDescent="0.25">
      <c r="A187">
        <v>161</v>
      </c>
    </row>
    <row r="188" spans="1:1" x14ac:dyDescent="0.25">
      <c r="A188">
        <v>139</v>
      </c>
    </row>
    <row r="189" spans="1:1" x14ac:dyDescent="0.25">
      <c r="A189">
        <v>146</v>
      </c>
    </row>
    <row r="190" spans="1:1" x14ac:dyDescent="0.25">
      <c r="A190">
        <v>1</v>
      </c>
    </row>
    <row r="191" spans="1:1" x14ac:dyDescent="0.25">
      <c r="A191">
        <v>20</v>
      </c>
    </row>
    <row r="192" spans="1:1" x14ac:dyDescent="0.25">
      <c r="A192" t="s">
        <v>831</v>
      </c>
    </row>
    <row r="193" spans="1:1" x14ac:dyDescent="0.25">
      <c r="A193" t="s">
        <v>832</v>
      </c>
    </row>
    <row r="194" spans="1:1" x14ac:dyDescent="0.25">
      <c r="A194" t="s">
        <v>829</v>
      </c>
    </row>
    <row r="195" spans="1:1" x14ac:dyDescent="0.25">
      <c r="A195">
        <v>1705</v>
      </c>
    </row>
    <row r="196" spans="1:1" x14ac:dyDescent="0.25">
      <c r="A196">
        <v>135</v>
      </c>
    </row>
    <row r="197" spans="1:1" x14ac:dyDescent="0.25">
      <c r="A197">
        <v>154</v>
      </c>
    </row>
    <row r="198" spans="1:1" x14ac:dyDescent="0.25">
      <c r="A198">
        <v>181</v>
      </c>
    </row>
    <row r="199" spans="1:1" x14ac:dyDescent="0.25">
      <c r="A199">
        <v>1</v>
      </c>
    </row>
    <row r="200" spans="1:1" x14ac:dyDescent="0.25">
      <c r="A200">
        <v>21</v>
      </c>
    </row>
    <row r="201" spans="1:1" x14ac:dyDescent="0.25">
      <c r="A201" t="s">
        <v>833</v>
      </c>
    </row>
    <row r="202" spans="1:1" x14ac:dyDescent="0.25">
      <c r="A202" t="s">
        <v>101</v>
      </c>
    </row>
    <row r="203" spans="1:1" x14ac:dyDescent="0.25">
      <c r="A203" t="s">
        <v>822</v>
      </c>
    </row>
    <row r="204" spans="1:1" x14ac:dyDescent="0.25">
      <c r="A204">
        <v>798</v>
      </c>
    </row>
    <row r="205" spans="1:1" x14ac:dyDescent="0.25">
      <c r="A205">
        <v>112</v>
      </c>
    </row>
    <row r="206" spans="1:1" x14ac:dyDescent="0.25">
      <c r="A206">
        <v>60</v>
      </c>
    </row>
    <row r="207" spans="1:1" x14ac:dyDescent="0.25">
      <c r="A207">
        <v>120</v>
      </c>
    </row>
    <row r="208" spans="1:1" x14ac:dyDescent="0.25">
      <c r="A208">
        <v>1</v>
      </c>
    </row>
    <row r="209" spans="1:1" x14ac:dyDescent="0.25">
      <c r="A209">
        <v>22</v>
      </c>
    </row>
    <row r="210" spans="1:1" x14ac:dyDescent="0.25">
      <c r="A210" t="s">
        <v>834</v>
      </c>
    </row>
    <row r="211" spans="1:1" x14ac:dyDescent="0.25">
      <c r="A211" t="s">
        <v>102</v>
      </c>
    </row>
    <row r="212" spans="1:1" x14ac:dyDescent="0.25">
      <c r="A212" t="s">
        <v>822</v>
      </c>
    </row>
    <row r="213" spans="1:1" x14ac:dyDescent="0.25">
      <c r="A213">
        <v>1997</v>
      </c>
    </row>
    <row r="214" spans="1:1" x14ac:dyDescent="0.25">
      <c r="A214">
        <v>182</v>
      </c>
    </row>
    <row r="215" spans="1:1" x14ac:dyDescent="0.25">
      <c r="A215">
        <v>133</v>
      </c>
    </row>
    <row r="216" spans="1:1" x14ac:dyDescent="0.25">
      <c r="A216">
        <v>163</v>
      </c>
    </row>
    <row r="217" spans="1:1" x14ac:dyDescent="0.25">
      <c r="A217">
        <v>1</v>
      </c>
    </row>
    <row r="218" spans="1:1" x14ac:dyDescent="0.25">
      <c r="A218">
        <v>23</v>
      </c>
    </row>
    <row r="219" spans="1:1" x14ac:dyDescent="0.25">
      <c r="A219" t="s">
        <v>835</v>
      </c>
    </row>
    <row r="220" spans="1:1" x14ac:dyDescent="0.25">
      <c r="A220" t="s">
        <v>193</v>
      </c>
    </row>
    <row r="221" spans="1:1" x14ac:dyDescent="0.25">
      <c r="A221" t="s">
        <v>836</v>
      </c>
    </row>
    <row r="222" spans="1:1" x14ac:dyDescent="0.25">
      <c r="A222">
        <v>927</v>
      </c>
    </row>
    <row r="223" spans="1:1" x14ac:dyDescent="0.25">
      <c r="A223">
        <v>110</v>
      </c>
    </row>
    <row r="224" spans="1:1" x14ac:dyDescent="0.25">
      <c r="A224">
        <v>97</v>
      </c>
    </row>
    <row r="225" spans="1:1" x14ac:dyDescent="0.25">
      <c r="A225">
        <v>111</v>
      </c>
    </row>
    <row r="226" spans="1:1" x14ac:dyDescent="0.25">
      <c r="A226">
        <v>1</v>
      </c>
    </row>
    <row r="227" spans="1:1" x14ac:dyDescent="0.25">
      <c r="A227">
        <v>24</v>
      </c>
    </row>
    <row r="228" spans="1:1" x14ac:dyDescent="0.25">
      <c r="A228" t="s">
        <v>837</v>
      </c>
    </row>
    <row r="229" spans="1:1" x14ac:dyDescent="0.25">
      <c r="A229" t="s">
        <v>194</v>
      </c>
    </row>
    <row r="230" spans="1:1" x14ac:dyDescent="0.25">
      <c r="A230" t="s">
        <v>836</v>
      </c>
    </row>
    <row r="231" spans="1:1" x14ac:dyDescent="0.25">
      <c r="A231">
        <v>1921</v>
      </c>
    </row>
    <row r="232" spans="1:1" x14ac:dyDescent="0.25">
      <c r="A232">
        <v>167</v>
      </c>
    </row>
    <row r="233" spans="1:1" x14ac:dyDescent="0.25">
      <c r="A233">
        <v>153</v>
      </c>
    </row>
    <row r="234" spans="1:1" x14ac:dyDescent="0.25">
      <c r="A234">
        <v>155</v>
      </c>
    </row>
    <row r="235" spans="1:1" x14ac:dyDescent="0.25">
      <c r="A235">
        <v>1</v>
      </c>
    </row>
    <row r="236" spans="1:1" x14ac:dyDescent="0.25">
      <c r="A236">
        <v>25</v>
      </c>
    </row>
    <row r="237" spans="1:1" x14ac:dyDescent="0.25">
      <c r="A237" t="s">
        <v>838</v>
      </c>
    </row>
    <row r="238" spans="1:1" x14ac:dyDescent="0.25">
      <c r="A238" t="s">
        <v>103</v>
      </c>
    </row>
    <row r="239" spans="1:1" x14ac:dyDescent="0.25">
      <c r="A239" t="s">
        <v>839</v>
      </c>
    </row>
    <row r="240" spans="1:1" x14ac:dyDescent="0.25">
      <c r="A240">
        <v>938</v>
      </c>
    </row>
    <row r="241" spans="1:1" x14ac:dyDescent="0.25">
      <c r="A241">
        <v>112</v>
      </c>
    </row>
    <row r="242" spans="1:1" x14ac:dyDescent="0.25">
      <c r="A242">
        <v>96</v>
      </c>
    </row>
    <row r="243" spans="1:1" x14ac:dyDescent="0.25">
      <c r="A243">
        <v>111</v>
      </c>
    </row>
    <row r="244" spans="1:1" x14ac:dyDescent="0.25">
      <c r="A244">
        <v>1</v>
      </c>
    </row>
    <row r="245" spans="1:1" x14ac:dyDescent="0.25">
      <c r="A245">
        <v>26</v>
      </c>
    </row>
    <row r="246" spans="1:1" x14ac:dyDescent="0.25">
      <c r="A246" t="s">
        <v>840</v>
      </c>
    </row>
    <row r="247" spans="1:1" x14ac:dyDescent="0.25">
      <c r="A247" t="s">
        <v>104</v>
      </c>
    </row>
    <row r="248" spans="1:1" x14ac:dyDescent="0.25">
      <c r="A248" t="s">
        <v>839</v>
      </c>
    </row>
    <row r="249" spans="1:1" x14ac:dyDescent="0.25">
      <c r="A249">
        <v>2182</v>
      </c>
    </row>
    <row r="250" spans="1:1" x14ac:dyDescent="0.25">
      <c r="A250">
        <v>193</v>
      </c>
    </row>
    <row r="251" spans="1:1" x14ac:dyDescent="0.25">
      <c r="A251">
        <v>151</v>
      </c>
    </row>
    <row r="252" spans="1:1" x14ac:dyDescent="0.25">
      <c r="A252">
        <v>155</v>
      </c>
    </row>
    <row r="253" spans="1:1" x14ac:dyDescent="0.25">
      <c r="A253">
        <v>1</v>
      </c>
    </row>
    <row r="254" spans="1:1" x14ac:dyDescent="0.25">
      <c r="A254">
        <v>26</v>
      </c>
    </row>
    <row r="255" spans="1:1" x14ac:dyDescent="0.25">
      <c r="A255" t="s">
        <v>841</v>
      </c>
    </row>
    <row r="256" spans="1:1" x14ac:dyDescent="0.25">
      <c r="A256" t="s">
        <v>842</v>
      </c>
    </row>
    <row r="257" spans="1:1" x14ac:dyDescent="0.25">
      <c r="A257" t="s">
        <v>843</v>
      </c>
    </row>
    <row r="258" spans="1:1" x14ac:dyDescent="0.25">
      <c r="A258">
        <v>2286</v>
      </c>
    </row>
    <row r="259" spans="1:1" x14ac:dyDescent="0.25">
      <c r="A259">
        <v>201</v>
      </c>
    </row>
    <row r="260" spans="1:1" x14ac:dyDescent="0.25">
      <c r="A260">
        <v>154</v>
      </c>
    </row>
    <row r="261" spans="1:1" x14ac:dyDescent="0.25">
      <c r="A261">
        <v>155</v>
      </c>
    </row>
    <row r="262" spans="1:1" x14ac:dyDescent="0.25">
      <c r="A262">
        <v>1</v>
      </c>
    </row>
    <row r="263" spans="1:1" x14ac:dyDescent="0.25">
      <c r="A263">
        <v>27</v>
      </c>
    </row>
    <row r="264" spans="1:1" x14ac:dyDescent="0.25">
      <c r="A264" t="s">
        <v>844</v>
      </c>
    </row>
    <row r="265" spans="1:1" x14ac:dyDescent="0.25">
      <c r="A265" t="s">
        <v>195</v>
      </c>
    </row>
    <row r="266" spans="1:1" x14ac:dyDescent="0.25">
      <c r="A266" t="s">
        <v>845</v>
      </c>
    </row>
    <row r="267" spans="1:1" x14ac:dyDescent="0.25">
      <c r="A267">
        <v>1261</v>
      </c>
    </row>
    <row r="268" spans="1:1" x14ac:dyDescent="0.25">
      <c r="A268">
        <v>126</v>
      </c>
    </row>
    <row r="269" spans="1:1" x14ac:dyDescent="0.25">
      <c r="A269">
        <v>120</v>
      </c>
    </row>
    <row r="270" spans="1:1" x14ac:dyDescent="0.25">
      <c r="A270">
        <v>137</v>
      </c>
    </row>
    <row r="271" spans="1:1" x14ac:dyDescent="0.25">
      <c r="A271">
        <v>1</v>
      </c>
    </row>
    <row r="272" spans="1:1" x14ac:dyDescent="0.25">
      <c r="A272">
        <v>27</v>
      </c>
    </row>
    <row r="273" spans="1:1" x14ac:dyDescent="0.25">
      <c r="A273" t="s">
        <v>846</v>
      </c>
    </row>
    <row r="274" spans="1:1" x14ac:dyDescent="0.25">
      <c r="A274" t="s">
        <v>847</v>
      </c>
    </row>
    <row r="275" spans="1:1" x14ac:dyDescent="0.25">
      <c r="A275" t="s">
        <v>848</v>
      </c>
    </row>
    <row r="276" spans="1:1" x14ac:dyDescent="0.25">
      <c r="A276">
        <v>1293</v>
      </c>
    </row>
    <row r="277" spans="1:1" x14ac:dyDescent="0.25">
      <c r="A277">
        <v>125</v>
      </c>
    </row>
    <row r="278" spans="1:1" x14ac:dyDescent="0.25">
      <c r="A278">
        <v>129</v>
      </c>
    </row>
    <row r="279" spans="1:1" x14ac:dyDescent="0.25">
      <c r="A279">
        <v>137</v>
      </c>
    </row>
    <row r="280" spans="1:1" x14ac:dyDescent="0.25">
      <c r="A280">
        <v>1</v>
      </c>
    </row>
    <row r="281" spans="1:1" x14ac:dyDescent="0.25">
      <c r="A281">
        <v>28</v>
      </c>
    </row>
    <row r="282" spans="1:1" x14ac:dyDescent="0.25">
      <c r="A282" t="s">
        <v>849</v>
      </c>
    </row>
    <row r="283" spans="1:1" x14ac:dyDescent="0.25">
      <c r="A283" t="s">
        <v>196</v>
      </c>
    </row>
    <row r="284" spans="1:1" x14ac:dyDescent="0.25">
      <c r="A284" t="s">
        <v>845</v>
      </c>
    </row>
    <row r="285" spans="1:1" x14ac:dyDescent="0.25">
      <c r="A285">
        <v>2374</v>
      </c>
    </row>
    <row r="286" spans="1:1" x14ac:dyDescent="0.25">
      <c r="A286">
        <v>182</v>
      </c>
    </row>
    <row r="287" spans="1:1" x14ac:dyDescent="0.25">
      <c r="A287">
        <v>175</v>
      </c>
    </row>
    <row r="288" spans="1:1" x14ac:dyDescent="0.25">
      <c r="A288">
        <v>181</v>
      </c>
    </row>
    <row r="289" spans="1:1" x14ac:dyDescent="0.25">
      <c r="A289">
        <v>1</v>
      </c>
    </row>
    <row r="290" spans="1:1" x14ac:dyDescent="0.25">
      <c r="A290">
        <v>28</v>
      </c>
    </row>
    <row r="291" spans="1:1" x14ac:dyDescent="0.25">
      <c r="A291" t="s">
        <v>850</v>
      </c>
    </row>
    <row r="292" spans="1:1" x14ac:dyDescent="0.25">
      <c r="A292" t="s">
        <v>851</v>
      </c>
    </row>
    <row r="293" spans="1:1" x14ac:dyDescent="0.25">
      <c r="A293" t="s">
        <v>848</v>
      </c>
    </row>
    <row r="294" spans="1:1" x14ac:dyDescent="0.25">
      <c r="A294">
        <v>2432</v>
      </c>
    </row>
    <row r="295" spans="1:1" x14ac:dyDescent="0.25">
      <c r="A295">
        <v>177</v>
      </c>
    </row>
    <row r="296" spans="1:1" x14ac:dyDescent="0.25">
      <c r="A296">
        <v>195</v>
      </c>
    </row>
    <row r="297" spans="1:1" x14ac:dyDescent="0.25">
      <c r="A297">
        <v>181</v>
      </c>
    </row>
    <row r="298" spans="1:1" x14ac:dyDescent="0.25">
      <c r="A298">
        <v>1</v>
      </c>
    </row>
    <row r="299" spans="1:1" x14ac:dyDescent="0.25">
      <c r="A299">
        <v>29</v>
      </c>
    </row>
    <row r="300" spans="1:1" x14ac:dyDescent="0.25">
      <c r="A300" t="s">
        <v>852</v>
      </c>
    </row>
    <row r="301" spans="1:1" x14ac:dyDescent="0.25">
      <c r="A301" t="s">
        <v>197</v>
      </c>
    </row>
    <row r="302" spans="1:1" x14ac:dyDescent="0.25">
      <c r="A302" t="s">
        <v>836</v>
      </c>
    </row>
    <row r="303" spans="1:1" x14ac:dyDescent="0.25">
      <c r="A303">
        <v>816</v>
      </c>
    </row>
    <row r="304" spans="1:1" x14ac:dyDescent="0.25">
      <c r="A304">
        <v>86</v>
      </c>
    </row>
    <row r="305" spans="1:1" x14ac:dyDescent="0.25">
      <c r="A305">
        <v>89</v>
      </c>
    </row>
    <row r="306" spans="1:1" x14ac:dyDescent="0.25">
      <c r="A306">
        <v>146</v>
      </c>
    </row>
    <row r="307" spans="1:1" x14ac:dyDescent="0.25">
      <c r="A307">
        <v>1</v>
      </c>
    </row>
    <row r="308" spans="1:1" x14ac:dyDescent="0.25">
      <c r="A308">
        <v>30</v>
      </c>
    </row>
    <row r="309" spans="1:1" x14ac:dyDescent="0.25">
      <c r="A309" t="s">
        <v>853</v>
      </c>
    </row>
    <row r="310" spans="1:1" x14ac:dyDescent="0.25">
      <c r="A310" t="s">
        <v>198</v>
      </c>
    </row>
    <row r="311" spans="1:1" x14ac:dyDescent="0.25">
      <c r="A311" t="s">
        <v>836</v>
      </c>
    </row>
    <row r="312" spans="1:1" x14ac:dyDescent="0.25">
      <c r="A312">
        <v>1309</v>
      </c>
    </row>
    <row r="313" spans="1:1" x14ac:dyDescent="0.25">
      <c r="A313">
        <v>117</v>
      </c>
    </row>
    <row r="314" spans="1:1" x14ac:dyDescent="0.25">
      <c r="A314">
        <v>120</v>
      </c>
    </row>
    <row r="315" spans="1:1" x14ac:dyDescent="0.25">
      <c r="A315">
        <v>172</v>
      </c>
    </row>
    <row r="316" spans="1:1" x14ac:dyDescent="0.25">
      <c r="A316">
        <v>1</v>
      </c>
    </row>
    <row r="317" spans="1:1" x14ac:dyDescent="0.25">
      <c r="A317">
        <v>31</v>
      </c>
    </row>
    <row r="318" spans="1:1" x14ac:dyDescent="0.25">
      <c r="A318" t="s">
        <v>854</v>
      </c>
    </row>
    <row r="319" spans="1:1" x14ac:dyDescent="0.25">
      <c r="A319" t="s">
        <v>199</v>
      </c>
    </row>
    <row r="320" spans="1:1" x14ac:dyDescent="0.25">
      <c r="A320" t="s">
        <v>855</v>
      </c>
    </row>
    <row r="321" spans="1:1" x14ac:dyDescent="0.25">
      <c r="A321">
        <v>2488</v>
      </c>
    </row>
    <row r="322" spans="1:1" x14ac:dyDescent="0.25">
      <c r="A322">
        <v>180</v>
      </c>
    </row>
    <row r="323" spans="1:1" x14ac:dyDescent="0.25">
      <c r="A323">
        <v>173</v>
      </c>
    </row>
    <row r="324" spans="1:1" x14ac:dyDescent="0.25">
      <c r="A324">
        <v>207</v>
      </c>
    </row>
    <row r="325" spans="1:1" x14ac:dyDescent="0.25">
      <c r="A325">
        <v>1</v>
      </c>
    </row>
    <row r="326" spans="1:1" x14ac:dyDescent="0.25">
      <c r="A326">
        <v>32</v>
      </c>
    </row>
    <row r="327" spans="1:1" x14ac:dyDescent="0.25">
      <c r="A327" t="s">
        <v>856</v>
      </c>
    </row>
    <row r="328" spans="1:1" x14ac:dyDescent="0.25">
      <c r="A328" t="s">
        <v>200</v>
      </c>
    </row>
    <row r="329" spans="1:1" x14ac:dyDescent="0.25">
      <c r="A329" t="s">
        <v>836</v>
      </c>
    </row>
    <row r="330" spans="1:1" x14ac:dyDescent="0.25">
      <c r="A330">
        <v>860</v>
      </c>
    </row>
    <row r="331" spans="1:1" x14ac:dyDescent="0.25">
      <c r="A331">
        <v>105</v>
      </c>
    </row>
    <row r="332" spans="1:1" x14ac:dyDescent="0.25">
      <c r="A332">
        <v>76</v>
      </c>
    </row>
    <row r="333" spans="1:1" x14ac:dyDescent="0.25">
      <c r="A333">
        <v>130</v>
      </c>
    </row>
    <row r="334" spans="1:1" x14ac:dyDescent="0.25">
      <c r="A334">
        <v>1</v>
      </c>
    </row>
    <row r="335" spans="1:1" x14ac:dyDescent="0.25">
      <c r="A335">
        <v>33</v>
      </c>
    </row>
    <row r="336" spans="1:1" x14ac:dyDescent="0.25">
      <c r="A336" t="s">
        <v>857</v>
      </c>
    </row>
    <row r="337" spans="1:1" x14ac:dyDescent="0.25">
      <c r="A337" t="s">
        <v>201</v>
      </c>
    </row>
    <row r="338" spans="1:1" x14ac:dyDescent="0.25">
      <c r="A338" t="s">
        <v>836</v>
      </c>
    </row>
    <row r="339" spans="1:1" x14ac:dyDescent="0.25">
      <c r="A339">
        <v>1393</v>
      </c>
    </row>
    <row r="340" spans="1:1" x14ac:dyDescent="0.25">
      <c r="A340">
        <v>137</v>
      </c>
    </row>
    <row r="341" spans="1:1" x14ac:dyDescent="0.25">
      <c r="A341">
        <v>111</v>
      </c>
    </row>
    <row r="342" spans="1:1" x14ac:dyDescent="0.25">
      <c r="A342">
        <v>156</v>
      </c>
    </row>
    <row r="343" spans="1:1" x14ac:dyDescent="0.25">
      <c r="A343">
        <v>1</v>
      </c>
    </row>
    <row r="344" spans="1:1" x14ac:dyDescent="0.25">
      <c r="A344">
        <v>34</v>
      </c>
    </row>
    <row r="345" spans="1:1" x14ac:dyDescent="0.25">
      <c r="A345" t="s">
        <v>858</v>
      </c>
    </row>
    <row r="346" spans="1:1" x14ac:dyDescent="0.25">
      <c r="A346" t="s">
        <v>202</v>
      </c>
    </row>
    <row r="347" spans="1:1" x14ac:dyDescent="0.25">
      <c r="A347" t="s">
        <v>855</v>
      </c>
    </row>
    <row r="348" spans="1:1" x14ac:dyDescent="0.25">
      <c r="A348">
        <v>2567</v>
      </c>
    </row>
    <row r="349" spans="1:1" x14ac:dyDescent="0.25">
      <c r="A349">
        <v>204</v>
      </c>
    </row>
    <row r="350" spans="1:1" x14ac:dyDescent="0.25">
      <c r="A350">
        <v>156</v>
      </c>
    </row>
    <row r="351" spans="1:1" x14ac:dyDescent="0.25">
      <c r="A351">
        <v>191</v>
      </c>
    </row>
    <row r="352" spans="1:1" x14ac:dyDescent="0.25">
      <c r="A352">
        <v>1</v>
      </c>
    </row>
    <row r="353" spans="1:1" x14ac:dyDescent="0.25">
      <c r="A353">
        <v>35</v>
      </c>
    </row>
    <row r="354" spans="1:1" x14ac:dyDescent="0.25">
      <c r="A354" t="s">
        <v>859</v>
      </c>
    </row>
    <row r="355" spans="1:1" x14ac:dyDescent="0.25">
      <c r="A355" t="s">
        <v>105</v>
      </c>
    </row>
    <row r="356" spans="1:1" x14ac:dyDescent="0.25">
      <c r="A356" t="s">
        <v>860</v>
      </c>
    </row>
    <row r="357" spans="1:1" x14ac:dyDescent="0.25">
      <c r="A357">
        <v>1155</v>
      </c>
    </row>
    <row r="358" spans="1:1" x14ac:dyDescent="0.25">
      <c r="A358">
        <v>107</v>
      </c>
    </row>
    <row r="359" spans="1:1" x14ac:dyDescent="0.25">
      <c r="A359">
        <v>108</v>
      </c>
    </row>
    <row r="360" spans="1:1" x14ac:dyDescent="0.25">
      <c r="A360">
        <v>172</v>
      </c>
    </row>
    <row r="361" spans="1:1" x14ac:dyDescent="0.25">
      <c r="A361">
        <v>1</v>
      </c>
    </row>
    <row r="362" spans="1:1" x14ac:dyDescent="0.25">
      <c r="A362">
        <v>36</v>
      </c>
    </row>
    <row r="363" spans="1:1" x14ac:dyDescent="0.25">
      <c r="A363" t="s">
        <v>861</v>
      </c>
    </row>
    <row r="364" spans="1:1" x14ac:dyDescent="0.25">
      <c r="A364" t="s">
        <v>106</v>
      </c>
    </row>
    <row r="365" spans="1:1" x14ac:dyDescent="0.25">
      <c r="A365" t="s">
        <v>860</v>
      </c>
    </row>
    <row r="366" spans="1:1" x14ac:dyDescent="0.25">
      <c r="A366">
        <v>2437</v>
      </c>
    </row>
    <row r="367" spans="1:1" x14ac:dyDescent="0.25">
      <c r="A367">
        <v>178</v>
      </c>
    </row>
    <row r="368" spans="1:1" x14ac:dyDescent="0.25">
      <c r="A368">
        <v>162</v>
      </c>
    </row>
    <row r="369" spans="1:1" x14ac:dyDescent="0.25">
      <c r="A369">
        <v>216</v>
      </c>
    </row>
    <row r="370" spans="1:1" x14ac:dyDescent="0.25">
      <c r="A370">
        <v>1</v>
      </c>
    </row>
    <row r="371" spans="1:1" x14ac:dyDescent="0.25">
      <c r="A371">
        <v>37</v>
      </c>
    </row>
    <row r="372" spans="1:1" x14ac:dyDescent="0.25">
      <c r="A372" t="s">
        <v>862</v>
      </c>
    </row>
    <row r="373" spans="1:1" x14ac:dyDescent="0.25">
      <c r="A373" t="s">
        <v>203</v>
      </c>
    </row>
    <row r="374" spans="1:1" x14ac:dyDescent="0.25">
      <c r="A374" t="s">
        <v>804</v>
      </c>
    </row>
    <row r="375" spans="1:1" x14ac:dyDescent="0.25">
      <c r="A375">
        <v>883</v>
      </c>
    </row>
    <row r="376" spans="1:1" x14ac:dyDescent="0.25">
      <c r="A376">
        <v>96</v>
      </c>
    </row>
    <row r="377" spans="1:1" x14ac:dyDescent="0.25">
      <c r="A377">
        <v>109</v>
      </c>
    </row>
    <row r="378" spans="1:1" x14ac:dyDescent="0.25">
      <c r="A378">
        <v>116</v>
      </c>
    </row>
    <row r="379" spans="1:1" x14ac:dyDescent="0.25">
      <c r="A379">
        <v>1</v>
      </c>
    </row>
    <row r="380" spans="1:1" x14ac:dyDescent="0.25">
      <c r="A380">
        <v>37</v>
      </c>
    </row>
    <row r="381" spans="1:1" x14ac:dyDescent="0.25">
      <c r="A381" t="s">
        <v>863</v>
      </c>
    </row>
    <row r="382" spans="1:1" x14ac:dyDescent="0.25">
      <c r="A382" t="s">
        <v>864</v>
      </c>
    </row>
    <row r="383" spans="1:1" x14ac:dyDescent="0.25">
      <c r="A383" t="s">
        <v>865</v>
      </c>
    </row>
    <row r="384" spans="1:1" x14ac:dyDescent="0.25">
      <c r="A384">
        <v>883</v>
      </c>
    </row>
    <row r="385" spans="1:1" x14ac:dyDescent="0.25">
      <c r="A385">
        <v>96</v>
      </c>
    </row>
    <row r="386" spans="1:1" x14ac:dyDescent="0.25">
      <c r="A386">
        <v>109</v>
      </c>
    </row>
    <row r="387" spans="1:1" x14ac:dyDescent="0.25">
      <c r="A387">
        <v>116</v>
      </c>
    </row>
    <row r="388" spans="1:1" x14ac:dyDescent="0.25">
      <c r="A388">
        <v>1</v>
      </c>
    </row>
    <row r="389" spans="1:1" x14ac:dyDescent="0.25">
      <c r="A389">
        <v>38</v>
      </c>
    </row>
    <row r="390" spans="1:1" x14ac:dyDescent="0.25">
      <c r="A390" t="s">
        <v>866</v>
      </c>
    </row>
    <row r="391" spans="1:1" x14ac:dyDescent="0.25">
      <c r="A391" t="s">
        <v>652</v>
      </c>
    </row>
    <row r="392" spans="1:1" x14ac:dyDescent="0.25">
      <c r="A392" t="s">
        <v>804</v>
      </c>
    </row>
    <row r="393" spans="1:1" x14ac:dyDescent="0.25">
      <c r="A393">
        <v>2279</v>
      </c>
    </row>
    <row r="394" spans="1:1" x14ac:dyDescent="0.25">
      <c r="A394">
        <v>169</v>
      </c>
    </row>
    <row r="395" spans="1:1" x14ac:dyDescent="0.25">
      <c r="A395">
        <v>190</v>
      </c>
    </row>
    <row r="396" spans="1:1" x14ac:dyDescent="0.25">
      <c r="A396">
        <v>177</v>
      </c>
    </row>
    <row r="397" spans="1:1" x14ac:dyDescent="0.25">
      <c r="A397">
        <v>1</v>
      </c>
    </row>
    <row r="398" spans="1:1" x14ac:dyDescent="0.25">
      <c r="A398">
        <v>38</v>
      </c>
    </row>
    <row r="399" spans="1:1" x14ac:dyDescent="0.25">
      <c r="A399" t="s">
        <v>867</v>
      </c>
    </row>
    <row r="400" spans="1:1" x14ac:dyDescent="0.25">
      <c r="A400" t="s">
        <v>868</v>
      </c>
    </row>
    <row r="401" spans="1:1" x14ac:dyDescent="0.25">
      <c r="A401" t="s">
        <v>869</v>
      </c>
    </row>
    <row r="402" spans="1:1" x14ac:dyDescent="0.25">
      <c r="A402">
        <v>2309</v>
      </c>
    </row>
    <row r="403" spans="1:1" x14ac:dyDescent="0.25">
      <c r="A403">
        <v>170</v>
      </c>
    </row>
    <row r="404" spans="1:1" x14ac:dyDescent="0.25">
      <c r="A404">
        <v>193</v>
      </c>
    </row>
    <row r="405" spans="1:1" x14ac:dyDescent="0.25">
      <c r="A405">
        <v>177</v>
      </c>
    </row>
    <row r="406" spans="1:1" x14ac:dyDescent="0.25">
      <c r="A406">
        <v>1</v>
      </c>
    </row>
    <row r="407" spans="1:1" x14ac:dyDescent="0.25">
      <c r="A407">
        <v>39</v>
      </c>
    </row>
    <row r="408" spans="1:1" x14ac:dyDescent="0.25">
      <c r="A408" t="s">
        <v>870</v>
      </c>
    </row>
    <row r="409" spans="1:1" x14ac:dyDescent="0.25">
      <c r="A409" t="s">
        <v>107</v>
      </c>
    </row>
    <row r="410" spans="1:1" x14ac:dyDescent="0.25">
      <c r="A410" t="s">
        <v>871</v>
      </c>
    </row>
    <row r="411" spans="1:1" x14ac:dyDescent="0.25">
      <c r="A411">
        <v>724</v>
      </c>
    </row>
    <row r="412" spans="1:1" x14ac:dyDescent="0.25">
      <c r="A412">
        <v>80</v>
      </c>
    </row>
    <row r="413" spans="1:1" x14ac:dyDescent="0.25">
      <c r="A413">
        <v>41</v>
      </c>
    </row>
    <row r="414" spans="1:1" x14ac:dyDescent="0.25">
      <c r="A414">
        <v>251</v>
      </c>
    </row>
    <row r="415" spans="1:1" x14ac:dyDescent="0.25">
      <c r="A415">
        <v>1</v>
      </c>
    </row>
    <row r="416" spans="1:1" x14ac:dyDescent="0.25">
      <c r="A416">
        <v>40</v>
      </c>
    </row>
    <row r="417" spans="1:1" x14ac:dyDescent="0.25">
      <c r="A417" t="s">
        <v>872</v>
      </c>
    </row>
    <row r="418" spans="1:1" x14ac:dyDescent="0.25">
      <c r="A418" t="s">
        <v>108</v>
      </c>
    </row>
    <row r="419" spans="1:1" x14ac:dyDescent="0.25">
      <c r="A419" t="s">
        <v>871</v>
      </c>
    </row>
    <row r="420" spans="1:1" x14ac:dyDescent="0.25">
      <c r="A420">
        <v>1926</v>
      </c>
    </row>
    <row r="421" spans="1:1" x14ac:dyDescent="0.25">
      <c r="A421">
        <v>156</v>
      </c>
    </row>
    <row r="422" spans="1:1" x14ac:dyDescent="0.25">
      <c r="A422">
        <v>90</v>
      </c>
    </row>
    <row r="423" spans="1:1" x14ac:dyDescent="0.25">
      <c r="A423">
        <v>295</v>
      </c>
    </row>
    <row r="424" spans="1:1" x14ac:dyDescent="0.25">
      <c r="A424">
        <v>1</v>
      </c>
    </row>
    <row r="425" spans="1:1" x14ac:dyDescent="0.25">
      <c r="A425">
        <v>41</v>
      </c>
    </row>
    <row r="426" spans="1:1" x14ac:dyDescent="0.25">
      <c r="A426" t="s">
        <v>873</v>
      </c>
    </row>
    <row r="427" spans="1:1" x14ac:dyDescent="0.25">
      <c r="A427" t="s">
        <v>109</v>
      </c>
    </row>
    <row r="428" spans="1:1" x14ac:dyDescent="0.25">
      <c r="A428" t="s">
        <v>874</v>
      </c>
    </row>
    <row r="429" spans="1:1" x14ac:dyDescent="0.25">
      <c r="A429">
        <v>667</v>
      </c>
    </row>
    <row r="430" spans="1:1" x14ac:dyDescent="0.25">
      <c r="A430">
        <v>83</v>
      </c>
    </row>
    <row r="431" spans="1:1" x14ac:dyDescent="0.25">
      <c r="A431">
        <v>73</v>
      </c>
    </row>
    <row r="432" spans="1:1" x14ac:dyDescent="0.25">
      <c r="A432">
        <v>120</v>
      </c>
    </row>
    <row r="433" spans="1:1" x14ac:dyDescent="0.25">
      <c r="A433">
        <v>1</v>
      </c>
    </row>
    <row r="434" spans="1:1" x14ac:dyDescent="0.25">
      <c r="A434">
        <v>42</v>
      </c>
    </row>
    <row r="435" spans="1:1" x14ac:dyDescent="0.25">
      <c r="A435" t="s">
        <v>875</v>
      </c>
    </row>
    <row r="436" spans="1:1" x14ac:dyDescent="0.25">
      <c r="A436" t="s">
        <v>110</v>
      </c>
    </row>
    <row r="437" spans="1:1" x14ac:dyDescent="0.25">
      <c r="A437" t="s">
        <v>874</v>
      </c>
    </row>
    <row r="438" spans="1:1" x14ac:dyDescent="0.25">
      <c r="A438">
        <v>1976</v>
      </c>
    </row>
    <row r="439" spans="1:1" x14ac:dyDescent="0.25">
      <c r="A439">
        <v>161</v>
      </c>
    </row>
    <row r="440" spans="1:1" x14ac:dyDescent="0.25">
      <c r="A440">
        <v>150</v>
      </c>
    </row>
    <row r="441" spans="1:1" x14ac:dyDescent="0.25">
      <c r="A441">
        <v>181</v>
      </c>
    </row>
    <row r="442" spans="1:1" x14ac:dyDescent="0.25">
      <c r="A442">
        <v>1</v>
      </c>
    </row>
    <row r="443" spans="1:1" x14ac:dyDescent="0.25">
      <c r="A443">
        <v>43</v>
      </c>
    </row>
    <row r="444" spans="1:1" x14ac:dyDescent="0.25">
      <c r="A444" t="s">
        <v>876</v>
      </c>
    </row>
    <row r="445" spans="1:1" x14ac:dyDescent="0.25">
      <c r="A445" t="s">
        <v>204</v>
      </c>
    </row>
    <row r="446" spans="1:1" x14ac:dyDescent="0.25">
      <c r="A446" t="s">
        <v>800</v>
      </c>
    </row>
    <row r="447" spans="1:1" x14ac:dyDescent="0.25">
      <c r="A447">
        <v>1228</v>
      </c>
    </row>
    <row r="448" spans="1:1" x14ac:dyDescent="0.25">
      <c r="A448">
        <v>131</v>
      </c>
    </row>
    <row r="449" spans="1:1" x14ac:dyDescent="0.25">
      <c r="A449">
        <v>112</v>
      </c>
    </row>
    <row r="450" spans="1:1" x14ac:dyDescent="0.25">
      <c r="A450">
        <v>128</v>
      </c>
    </row>
    <row r="451" spans="1:1" x14ac:dyDescent="0.25">
      <c r="A451">
        <v>1</v>
      </c>
    </row>
    <row r="452" spans="1:1" x14ac:dyDescent="0.25">
      <c r="A452">
        <v>44</v>
      </c>
    </row>
    <row r="453" spans="1:1" x14ac:dyDescent="0.25">
      <c r="A453" t="s">
        <v>877</v>
      </c>
    </row>
    <row r="454" spans="1:1" x14ac:dyDescent="0.25">
      <c r="A454" t="s">
        <v>205</v>
      </c>
    </row>
    <row r="455" spans="1:1" x14ac:dyDescent="0.25">
      <c r="A455" t="s">
        <v>800</v>
      </c>
    </row>
    <row r="456" spans="1:1" x14ac:dyDescent="0.25">
      <c r="A456">
        <v>1681</v>
      </c>
    </row>
    <row r="457" spans="1:1" x14ac:dyDescent="0.25">
      <c r="A457">
        <v>153</v>
      </c>
    </row>
    <row r="458" spans="1:1" x14ac:dyDescent="0.25">
      <c r="A458">
        <v>136</v>
      </c>
    </row>
    <row r="459" spans="1:1" x14ac:dyDescent="0.25">
      <c r="A459">
        <v>155</v>
      </c>
    </row>
    <row r="460" spans="1:1" x14ac:dyDescent="0.25">
      <c r="A460">
        <v>1</v>
      </c>
    </row>
    <row r="461" spans="1:1" x14ac:dyDescent="0.25">
      <c r="A461">
        <v>45</v>
      </c>
    </row>
    <row r="462" spans="1:1" x14ac:dyDescent="0.25">
      <c r="A462" t="s">
        <v>878</v>
      </c>
    </row>
    <row r="463" spans="1:1" x14ac:dyDescent="0.25">
      <c r="A463" t="s">
        <v>206</v>
      </c>
    </row>
    <row r="464" spans="1:1" x14ac:dyDescent="0.25">
      <c r="A464" t="s">
        <v>800</v>
      </c>
    </row>
    <row r="465" spans="1:1" x14ac:dyDescent="0.25">
      <c r="A465">
        <v>2559</v>
      </c>
    </row>
    <row r="466" spans="1:1" x14ac:dyDescent="0.25">
      <c r="A466">
        <v>202</v>
      </c>
    </row>
    <row r="467" spans="1:1" x14ac:dyDescent="0.25">
      <c r="A467">
        <v>167</v>
      </c>
    </row>
    <row r="468" spans="1:1" x14ac:dyDescent="0.25">
      <c r="A468">
        <v>181</v>
      </c>
    </row>
    <row r="469" spans="1:1" x14ac:dyDescent="0.25">
      <c r="A469">
        <v>1</v>
      </c>
    </row>
    <row r="470" spans="1:1" x14ac:dyDescent="0.25">
      <c r="A470">
        <v>46</v>
      </c>
    </row>
    <row r="471" spans="1:1" x14ac:dyDescent="0.25">
      <c r="A471" t="s">
        <v>879</v>
      </c>
    </row>
    <row r="472" spans="1:1" x14ac:dyDescent="0.25">
      <c r="A472" t="s">
        <v>207</v>
      </c>
    </row>
    <row r="473" spans="1:1" x14ac:dyDescent="0.25">
      <c r="A473" t="s">
        <v>880</v>
      </c>
    </row>
    <row r="474" spans="1:1" x14ac:dyDescent="0.25">
      <c r="A474">
        <v>1018</v>
      </c>
    </row>
    <row r="475" spans="1:1" x14ac:dyDescent="0.25">
      <c r="A475">
        <v>121</v>
      </c>
    </row>
    <row r="476" spans="1:1" x14ac:dyDescent="0.25">
      <c r="A476">
        <v>99</v>
      </c>
    </row>
    <row r="477" spans="1:1" x14ac:dyDescent="0.25">
      <c r="A477">
        <v>111</v>
      </c>
    </row>
    <row r="478" spans="1:1" x14ac:dyDescent="0.25">
      <c r="A478">
        <v>1</v>
      </c>
    </row>
    <row r="479" spans="1:1" x14ac:dyDescent="0.25">
      <c r="A479">
        <v>47</v>
      </c>
    </row>
    <row r="480" spans="1:1" x14ac:dyDescent="0.25">
      <c r="A480" t="s">
        <v>881</v>
      </c>
    </row>
    <row r="481" spans="1:1" x14ac:dyDescent="0.25">
      <c r="A481" t="s">
        <v>208</v>
      </c>
    </row>
    <row r="482" spans="1:1" x14ac:dyDescent="0.25">
      <c r="A482" t="s">
        <v>880</v>
      </c>
    </row>
    <row r="483" spans="1:1" x14ac:dyDescent="0.25">
      <c r="A483">
        <v>1859</v>
      </c>
    </row>
    <row r="484" spans="1:1" x14ac:dyDescent="0.25">
      <c r="A484">
        <v>165</v>
      </c>
    </row>
    <row r="485" spans="1:1" x14ac:dyDescent="0.25">
      <c r="A485">
        <v>146</v>
      </c>
    </row>
    <row r="486" spans="1:1" x14ac:dyDescent="0.25">
      <c r="A486">
        <v>155</v>
      </c>
    </row>
    <row r="487" spans="1:1" x14ac:dyDescent="0.25">
      <c r="A487">
        <v>1</v>
      </c>
    </row>
    <row r="488" spans="1:1" x14ac:dyDescent="0.25">
      <c r="A488">
        <v>48</v>
      </c>
    </row>
    <row r="489" spans="1:1" x14ac:dyDescent="0.25">
      <c r="A489" t="s">
        <v>882</v>
      </c>
    </row>
    <row r="490" spans="1:1" x14ac:dyDescent="0.25">
      <c r="A490" t="s">
        <v>209</v>
      </c>
    </row>
    <row r="491" spans="1:1" x14ac:dyDescent="0.25">
      <c r="A491" t="s">
        <v>818</v>
      </c>
    </row>
    <row r="492" spans="1:1" x14ac:dyDescent="0.25">
      <c r="A492">
        <v>1004</v>
      </c>
    </row>
    <row r="493" spans="1:1" x14ac:dyDescent="0.25">
      <c r="A493">
        <v>100</v>
      </c>
    </row>
    <row r="494" spans="1:1" x14ac:dyDescent="0.25">
      <c r="A494">
        <v>100</v>
      </c>
    </row>
    <row r="495" spans="1:1" x14ac:dyDescent="0.25">
      <c r="A495">
        <v>155</v>
      </c>
    </row>
    <row r="496" spans="1:1" x14ac:dyDescent="0.25">
      <c r="A496">
        <v>1</v>
      </c>
    </row>
    <row r="497" spans="1:1" x14ac:dyDescent="0.25">
      <c r="A497">
        <v>49</v>
      </c>
    </row>
    <row r="498" spans="1:1" x14ac:dyDescent="0.25">
      <c r="A498" t="s">
        <v>883</v>
      </c>
    </row>
    <row r="499" spans="1:1" x14ac:dyDescent="0.25">
      <c r="A499" t="s">
        <v>210</v>
      </c>
    </row>
    <row r="500" spans="1:1" x14ac:dyDescent="0.25">
      <c r="A500" t="s">
        <v>818</v>
      </c>
    </row>
    <row r="501" spans="1:1" x14ac:dyDescent="0.25">
      <c r="A501">
        <v>2082</v>
      </c>
    </row>
    <row r="502" spans="1:1" x14ac:dyDescent="0.25">
      <c r="A502">
        <v>179</v>
      </c>
    </row>
    <row r="503" spans="1:1" x14ac:dyDescent="0.25">
      <c r="A503">
        <v>143</v>
      </c>
    </row>
    <row r="504" spans="1:1" x14ac:dyDescent="0.25">
      <c r="A504">
        <v>172</v>
      </c>
    </row>
    <row r="505" spans="1:1" x14ac:dyDescent="0.25">
      <c r="A505">
        <v>1</v>
      </c>
    </row>
    <row r="506" spans="1:1" x14ac:dyDescent="0.25">
      <c r="A506">
        <v>50</v>
      </c>
    </row>
    <row r="507" spans="1:1" x14ac:dyDescent="0.25">
      <c r="A507" t="s">
        <v>884</v>
      </c>
    </row>
    <row r="508" spans="1:1" x14ac:dyDescent="0.25">
      <c r="A508" t="s">
        <v>211</v>
      </c>
    </row>
    <row r="509" spans="1:1" x14ac:dyDescent="0.25">
      <c r="A509" t="s">
        <v>845</v>
      </c>
    </row>
    <row r="510" spans="1:1" x14ac:dyDescent="0.25">
      <c r="A510">
        <v>676</v>
      </c>
    </row>
    <row r="511" spans="1:1" x14ac:dyDescent="0.25">
      <c r="A511">
        <v>109</v>
      </c>
    </row>
    <row r="512" spans="1:1" x14ac:dyDescent="0.25">
      <c r="A512">
        <v>78</v>
      </c>
    </row>
    <row r="513" spans="1:1" x14ac:dyDescent="0.25">
      <c r="A513">
        <v>67</v>
      </c>
    </row>
    <row r="514" spans="1:1" x14ac:dyDescent="0.25">
      <c r="A514">
        <v>1</v>
      </c>
    </row>
    <row r="515" spans="1:1" x14ac:dyDescent="0.25">
      <c r="A515">
        <v>50</v>
      </c>
    </row>
    <row r="516" spans="1:1" x14ac:dyDescent="0.25">
      <c r="A516" t="s">
        <v>885</v>
      </c>
    </row>
    <row r="517" spans="1:1" x14ac:dyDescent="0.25">
      <c r="A517" t="s">
        <v>886</v>
      </c>
    </row>
    <row r="518" spans="1:1" x14ac:dyDescent="0.25">
      <c r="A518" t="s">
        <v>887</v>
      </c>
    </row>
    <row r="519" spans="1:1" x14ac:dyDescent="0.25">
      <c r="A519">
        <v>681</v>
      </c>
    </row>
    <row r="520" spans="1:1" x14ac:dyDescent="0.25">
      <c r="A520">
        <v>108</v>
      </c>
    </row>
    <row r="521" spans="1:1" x14ac:dyDescent="0.25">
      <c r="A521">
        <v>81</v>
      </c>
    </row>
    <row r="522" spans="1:1" x14ac:dyDescent="0.25">
      <c r="A522">
        <v>67</v>
      </c>
    </row>
    <row r="523" spans="1:1" x14ac:dyDescent="0.25">
      <c r="A523">
        <v>1</v>
      </c>
    </row>
    <row r="524" spans="1:1" x14ac:dyDescent="0.25">
      <c r="A524">
        <v>51</v>
      </c>
    </row>
    <row r="525" spans="1:1" x14ac:dyDescent="0.25">
      <c r="A525" t="s">
        <v>888</v>
      </c>
    </row>
    <row r="526" spans="1:1" x14ac:dyDescent="0.25">
      <c r="A526" t="s">
        <v>212</v>
      </c>
    </row>
    <row r="527" spans="1:1" x14ac:dyDescent="0.25">
      <c r="A527" t="s">
        <v>845</v>
      </c>
    </row>
    <row r="528" spans="1:1" x14ac:dyDescent="0.25">
      <c r="A528">
        <v>1557</v>
      </c>
    </row>
    <row r="529" spans="1:1" x14ac:dyDescent="0.25">
      <c r="A529">
        <v>167</v>
      </c>
    </row>
    <row r="530" spans="1:1" x14ac:dyDescent="0.25">
      <c r="A530">
        <v>134</v>
      </c>
    </row>
    <row r="531" spans="1:1" x14ac:dyDescent="0.25">
      <c r="A531">
        <v>111</v>
      </c>
    </row>
    <row r="532" spans="1:1" x14ac:dyDescent="0.25">
      <c r="A532">
        <v>1</v>
      </c>
    </row>
    <row r="533" spans="1:1" x14ac:dyDescent="0.25">
      <c r="A533">
        <v>51</v>
      </c>
    </row>
    <row r="534" spans="1:1" x14ac:dyDescent="0.25">
      <c r="A534" t="s">
        <v>889</v>
      </c>
    </row>
    <row r="535" spans="1:1" x14ac:dyDescent="0.25">
      <c r="A535" t="s">
        <v>890</v>
      </c>
    </row>
    <row r="536" spans="1:1" x14ac:dyDescent="0.25">
      <c r="A536" t="s">
        <v>887</v>
      </c>
    </row>
    <row r="537" spans="1:1" x14ac:dyDescent="0.25">
      <c r="A537">
        <v>1897</v>
      </c>
    </row>
    <row r="538" spans="1:1" x14ac:dyDescent="0.25">
      <c r="A538">
        <v>201</v>
      </c>
    </row>
    <row r="539" spans="1:1" x14ac:dyDescent="0.25">
      <c r="A539">
        <v>142</v>
      </c>
    </row>
    <row r="540" spans="1:1" x14ac:dyDescent="0.25">
      <c r="A540">
        <v>111</v>
      </c>
    </row>
    <row r="541" spans="1:1" x14ac:dyDescent="0.25">
      <c r="A541">
        <v>1</v>
      </c>
    </row>
    <row r="542" spans="1:1" x14ac:dyDescent="0.25">
      <c r="A542">
        <v>52</v>
      </c>
    </row>
    <row r="543" spans="1:1" x14ac:dyDescent="0.25">
      <c r="A543" t="s">
        <v>891</v>
      </c>
    </row>
    <row r="544" spans="1:1" x14ac:dyDescent="0.25">
      <c r="A544" t="s">
        <v>213</v>
      </c>
    </row>
    <row r="545" spans="1:1" x14ac:dyDescent="0.25">
      <c r="A545" t="s">
        <v>826</v>
      </c>
    </row>
    <row r="546" spans="1:1" x14ac:dyDescent="0.25">
      <c r="A546">
        <v>748</v>
      </c>
    </row>
    <row r="547" spans="1:1" x14ac:dyDescent="0.25">
      <c r="A547">
        <v>92</v>
      </c>
    </row>
    <row r="548" spans="1:1" x14ac:dyDescent="0.25">
      <c r="A548">
        <v>78</v>
      </c>
    </row>
    <row r="549" spans="1:1" x14ac:dyDescent="0.25">
      <c r="A549">
        <v>120</v>
      </c>
    </row>
    <row r="550" spans="1:1" x14ac:dyDescent="0.25">
      <c r="A550">
        <v>1</v>
      </c>
    </row>
    <row r="551" spans="1:1" x14ac:dyDescent="0.25">
      <c r="A551">
        <v>52</v>
      </c>
    </row>
    <row r="552" spans="1:1" x14ac:dyDescent="0.25">
      <c r="A552" t="s">
        <v>892</v>
      </c>
    </row>
    <row r="553" spans="1:1" x14ac:dyDescent="0.25">
      <c r="A553" t="s">
        <v>893</v>
      </c>
    </row>
    <row r="554" spans="1:1" x14ac:dyDescent="0.25">
      <c r="A554" t="s">
        <v>894</v>
      </c>
    </row>
    <row r="555" spans="1:1" x14ac:dyDescent="0.25">
      <c r="A555">
        <v>797</v>
      </c>
    </row>
    <row r="556" spans="1:1" x14ac:dyDescent="0.25">
      <c r="A556">
        <v>99</v>
      </c>
    </row>
    <row r="557" spans="1:1" x14ac:dyDescent="0.25">
      <c r="A557">
        <v>78</v>
      </c>
    </row>
    <row r="558" spans="1:1" x14ac:dyDescent="0.25">
      <c r="A558">
        <v>120</v>
      </c>
    </row>
    <row r="559" spans="1:1" x14ac:dyDescent="0.25">
      <c r="A559">
        <v>1</v>
      </c>
    </row>
    <row r="560" spans="1:1" x14ac:dyDescent="0.25">
      <c r="A560">
        <v>53</v>
      </c>
    </row>
    <row r="561" spans="1:1" x14ac:dyDescent="0.25">
      <c r="A561" t="s">
        <v>895</v>
      </c>
    </row>
    <row r="562" spans="1:1" x14ac:dyDescent="0.25">
      <c r="A562" t="s">
        <v>214</v>
      </c>
    </row>
    <row r="563" spans="1:1" x14ac:dyDescent="0.25">
      <c r="A563" t="s">
        <v>826</v>
      </c>
    </row>
    <row r="564" spans="1:1" x14ac:dyDescent="0.25">
      <c r="A564">
        <v>1689</v>
      </c>
    </row>
    <row r="565" spans="1:1" x14ac:dyDescent="0.25">
      <c r="A565">
        <v>150</v>
      </c>
    </row>
    <row r="566" spans="1:1" x14ac:dyDescent="0.25">
      <c r="A566">
        <v>136</v>
      </c>
    </row>
    <row r="567" spans="1:1" x14ac:dyDescent="0.25">
      <c r="A567">
        <v>163</v>
      </c>
    </row>
    <row r="568" spans="1:1" x14ac:dyDescent="0.25">
      <c r="A568">
        <v>1</v>
      </c>
    </row>
    <row r="569" spans="1:1" x14ac:dyDescent="0.25">
      <c r="A569">
        <v>53</v>
      </c>
    </row>
    <row r="570" spans="1:1" x14ac:dyDescent="0.25">
      <c r="A570" t="s">
        <v>896</v>
      </c>
    </row>
    <row r="571" spans="1:1" x14ac:dyDescent="0.25">
      <c r="A571" t="s">
        <v>897</v>
      </c>
    </row>
    <row r="572" spans="1:1" x14ac:dyDescent="0.25">
      <c r="A572" t="s">
        <v>894</v>
      </c>
    </row>
    <row r="573" spans="1:1" x14ac:dyDescent="0.25">
      <c r="A573">
        <v>1771</v>
      </c>
    </row>
    <row r="574" spans="1:1" x14ac:dyDescent="0.25">
      <c r="A574">
        <v>158</v>
      </c>
    </row>
    <row r="575" spans="1:1" x14ac:dyDescent="0.25">
      <c r="A575">
        <v>136</v>
      </c>
    </row>
    <row r="576" spans="1:1" x14ac:dyDescent="0.25">
      <c r="A576">
        <v>163</v>
      </c>
    </row>
    <row r="577" spans="1:1" x14ac:dyDescent="0.25">
      <c r="A577">
        <v>1</v>
      </c>
    </row>
    <row r="578" spans="1:1" x14ac:dyDescent="0.25">
      <c r="A578">
        <v>54</v>
      </c>
    </row>
    <row r="579" spans="1:1" x14ac:dyDescent="0.25">
      <c r="A579" t="s">
        <v>898</v>
      </c>
    </row>
    <row r="580" spans="1:1" x14ac:dyDescent="0.25">
      <c r="A580" t="s">
        <v>215</v>
      </c>
    </row>
    <row r="581" spans="1:1" x14ac:dyDescent="0.25">
      <c r="A581" t="s">
        <v>809</v>
      </c>
    </row>
    <row r="582" spans="1:1" x14ac:dyDescent="0.25">
      <c r="A582">
        <v>1106</v>
      </c>
    </row>
    <row r="583" spans="1:1" x14ac:dyDescent="0.25">
      <c r="A583">
        <v>122</v>
      </c>
    </row>
    <row r="584" spans="1:1" x14ac:dyDescent="0.25">
      <c r="A584">
        <v>95</v>
      </c>
    </row>
    <row r="585" spans="1:1" x14ac:dyDescent="0.25">
      <c r="A585">
        <v>137</v>
      </c>
    </row>
    <row r="586" spans="1:1" x14ac:dyDescent="0.25">
      <c r="A586">
        <v>1</v>
      </c>
    </row>
    <row r="587" spans="1:1" x14ac:dyDescent="0.25">
      <c r="A587">
        <v>55</v>
      </c>
    </row>
    <row r="588" spans="1:1" x14ac:dyDescent="0.25">
      <c r="A588" t="s">
        <v>899</v>
      </c>
    </row>
    <row r="589" spans="1:1" x14ac:dyDescent="0.25">
      <c r="A589" t="s">
        <v>216</v>
      </c>
    </row>
    <row r="590" spans="1:1" x14ac:dyDescent="0.25">
      <c r="A590" t="s">
        <v>809</v>
      </c>
    </row>
    <row r="591" spans="1:1" x14ac:dyDescent="0.25">
      <c r="A591">
        <v>2450</v>
      </c>
    </row>
    <row r="592" spans="1:1" x14ac:dyDescent="0.25">
      <c r="A592">
        <v>191</v>
      </c>
    </row>
    <row r="593" spans="1:1" x14ac:dyDescent="0.25">
      <c r="A593">
        <v>162</v>
      </c>
    </row>
    <row r="594" spans="1:1" x14ac:dyDescent="0.25">
      <c r="A594">
        <v>190</v>
      </c>
    </row>
    <row r="595" spans="1:1" x14ac:dyDescent="0.25">
      <c r="A595">
        <v>1</v>
      </c>
    </row>
    <row r="596" spans="1:1" x14ac:dyDescent="0.25">
      <c r="A596">
        <v>56</v>
      </c>
    </row>
    <row r="597" spans="1:1" x14ac:dyDescent="0.25">
      <c r="A597" t="s">
        <v>900</v>
      </c>
    </row>
    <row r="598" spans="1:1" x14ac:dyDescent="0.25">
      <c r="A598" t="s">
        <v>217</v>
      </c>
    </row>
    <row r="599" spans="1:1" x14ac:dyDescent="0.25">
      <c r="A599" t="s">
        <v>901</v>
      </c>
    </row>
    <row r="600" spans="1:1" x14ac:dyDescent="0.25">
      <c r="A600">
        <v>1164</v>
      </c>
    </row>
    <row r="601" spans="1:1" x14ac:dyDescent="0.25">
      <c r="A601">
        <v>148</v>
      </c>
    </row>
    <row r="602" spans="1:1" x14ac:dyDescent="0.25">
      <c r="A602">
        <v>82</v>
      </c>
    </row>
    <row r="603" spans="1:1" x14ac:dyDescent="0.25">
      <c r="A603">
        <v>120</v>
      </c>
    </row>
    <row r="604" spans="1:1" x14ac:dyDescent="0.25">
      <c r="A604">
        <v>1</v>
      </c>
    </row>
    <row r="605" spans="1:1" x14ac:dyDescent="0.25">
      <c r="A605">
        <v>57</v>
      </c>
    </row>
    <row r="606" spans="1:1" x14ac:dyDescent="0.25">
      <c r="A606" t="s">
        <v>902</v>
      </c>
    </row>
    <row r="607" spans="1:1" x14ac:dyDescent="0.25">
      <c r="A607" t="s">
        <v>218</v>
      </c>
    </row>
    <row r="608" spans="1:1" x14ac:dyDescent="0.25">
      <c r="A608" t="s">
        <v>901</v>
      </c>
    </row>
    <row r="609" spans="1:1" x14ac:dyDescent="0.25">
      <c r="A609">
        <v>2288</v>
      </c>
    </row>
    <row r="610" spans="1:1" x14ac:dyDescent="0.25">
      <c r="A610">
        <v>207</v>
      </c>
    </row>
    <row r="611" spans="1:1" x14ac:dyDescent="0.25">
      <c r="A611">
        <v>138</v>
      </c>
    </row>
    <row r="612" spans="1:1" x14ac:dyDescent="0.25">
      <c r="A612">
        <v>163</v>
      </c>
    </row>
    <row r="613" spans="1:1" x14ac:dyDescent="0.25">
      <c r="A613">
        <v>1</v>
      </c>
    </row>
    <row r="614" spans="1:1" x14ac:dyDescent="0.25">
      <c r="A614">
        <v>58</v>
      </c>
    </row>
    <row r="615" spans="1:1" x14ac:dyDescent="0.25">
      <c r="A615" t="s">
        <v>903</v>
      </c>
    </row>
    <row r="616" spans="1:1" x14ac:dyDescent="0.25">
      <c r="A616" t="s">
        <v>219</v>
      </c>
    </row>
    <row r="617" spans="1:1" x14ac:dyDescent="0.25">
      <c r="A617" t="s">
        <v>804</v>
      </c>
    </row>
    <row r="618" spans="1:1" x14ac:dyDescent="0.25">
      <c r="A618">
        <v>1243</v>
      </c>
    </row>
    <row r="619" spans="1:1" x14ac:dyDescent="0.25">
      <c r="A619">
        <v>136</v>
      </c>
    </row>
    <row r="620" spans="1:1" x14ac:dyDescent="0.25">
      <c r="A620">
        <v>93</v>
      </c>
    </row>
    <row r="621" spans="1:1" x14ac:dyDescent="0.25">
      <c r="A621">
        <v>146</v>
      </c>
    </row>
    <row r="622" spans="1:1" x14ac:dyDescent="0.25">
      <c r="A622">
        <v>1</v>
      </c>
    </row>
    <row r="623" spans="1:1" x14ac:dyDescent="0.25">
      <c r="A623">
        <v>59</v>
      </c>
    </row>
    <row r="624" spans="1:1" x14ac:dyDescent="0.25">
      <c r="A624" t="s">
        <v>904</v>
      </c>
    </row>
    <row r="625" spans="1:1" x14ac:dyDescent="0.25">
      <c r="A625" t="s">
        <v>220</v>
      </c>
    </row>
    <row r="626" spans="1:1" x14ac:dyDescent="0.25">
      <c r="A626" t="s">
        <v>804</v>
      </c>
    </row>
    <row r="627" spans="1:1" x14ac:dyDescent="0.25">
      <c r="A627">
        <v>3029</v>
      </c>
    </row>
    <row r="628" spans="1:1" x14ac:dyDescent="0.25">
      <c r="A628">
        <v>227</v>
      </c>
    </row>
    <row r="629" spans="1:1" x14ac:dyDescent="0.25">
      <c r="A629">
        <v>166</v>
      </c>
    </row>
    <row r="630" spans="1:1" x14ac:dyDescent="0.25">
      <c r="A630">
        <v>207</v>
      </c>
    </row>
    <row r="631" spans="1:1" x14ac:dyDescent="0.25">
      <c r="A631">
        <v>1</v>
      </c>
    </row>
    <row r="632" spans="1:1" x14ac:dyDescent="0.25">
      <c r="A632">
        <v>60</v>
      </c>
    </row>
    <row r="633" spans="1:1" x14ac:dyDescent="0.25">
      <c r="A633" t="s">
        <v>905</v>
      </c>
    </row>
    <row r="634" spans="1:1" x14ac:dyDescent="0.25">
      <c r="A634" t="s">
        <v>221</v>
      </c>
    </row>
    <row r="635" spans="1:1" x14ac:dyDescent="0.25">
      <c r="A635" t="s">
        <v>809</v>
      </c>
    </row>
    <row r="636" spans="1:1" x14ac:dyDescent="0.25">
      <c r="A636">
        <v>829</v>
      </c>
    </row>
    <row r="637" spans="1:1" x14ac:dyDescent="0.25">
      <c r="A637">
        <v>101</v>
      </c>
    </row>
    <row r="638" spans="1:1" x14ac:dyDescent="0.25">
      <c r="A638">
        <v>82</v>
      </c>
    </row>
    <row r="639" spans="1:1" x14ac:dyDescent="0.25">
      <c r="A639">
        <v>120</v>
      </c>
    </row>
    <row r="640" spans="1:1" x14ac:dyDescent="0.25">
      <c r="A640">
        <v>1</v>
      </c>
    </row>
    <row r="641" spans="1:1" x14ac:dyDescent="0.25">
      <c r="A641">
        <v>61</v>
      </c>
    </row>
    <row r="642" spans="1:1" x14ac:dyDescent="0.25">
      <c r="A642" t="s">
        <v>906</v>
      </c>
    </row>
    <row r="643" spans="1:1" x14ac:dyDescent="0.25">
      <c r="A643" t="s">
        <v>222</v>
      </c>
    </row>
    <row r="644" spans="1:1" x14ac:dyDescent="0.25">
      <c r="A644" t="s">
        <v>809</v>
      </c>
    </row>
    <row r="645" spans="1:1" x14ac:dyDescent="0.25">
      <c r="A645">
        <v>1419</v>
      </c>
    </row>
    <row r="646" spans="1:1" x14ac:dyDescent="0.25">
      <c r="A646">
        <v>130</v>
      </c>
    </row>
    <row r="647" spans="1:1" x14ac:dyDescent="0.25">
      <c r="A647">
        <v>123</v>
      </c>
    </row>
    <row r="648" spans="1:1" x14ac:dyDescent="0.25">
      <c r="A648">
        <v>163</v>
      </c>
    </row>
    <row r="649" spans="1:1" x14ac:dyDescent="0.25">
      <c r="A649">
        <v>1</v>
      </c>
    </row>
    <row r="650" spans="1:1" x14ac:dyDescent="0.25">
      <c r="A650">
        <v>62</v>
      </c>
    </row>
    <row r="651" spans="1:1" x14ac:dyDescent="0.25">
      <c r="A651" t="s">
        <v>907</v>
      </c>
    </row>
    <row r="652" spans="1:1" x14ac:dyDescent="0.25">
      <c r="A652" t="s">
        <v>223</v>
      </c>
    </row>
    <row r="653" spans="1:1" x14ac:dyDescent="0.25">
      <c r="A653" t="s">
        <v>908</v>
      </c>
    </row>
    <row r="654" spans="1:1" x14ac:dyDescent="0.25">
      <c r="A654">
        <v>2586</v>
      </c>
    </row>
    <row r="655" spans="1:1" x14ac:dyDescent="0.25">
      <c r="A655">
        <v>182</v>
      </c>
    </row>
    <row r="656" spans="1:1" x14ac:dyDescent="0.25">
      <c r="A656">
        <v>184</v>
      </c>
    </row>
    <row r="657" spans="1:1" x14ac:dyDescent="0.25">
      <c r="A657">
        <v>207</v>
      </c>
    </row>
    <row r="658" spans="1:1" x14ac:dyDescent="0.25">
      <c r="A658">
        <v>1</v>
      </c>
    </row>
    <row r="659" spans="1:1" x14ac:dyDescent="0.25">
      <c r="A659">
        <v>63</v>
      </c>
    </row>
    <row r="660" spans="1:1" x14ac:dyDescent="0.25">
      <c r="A660" t="s">
        <v>909</v>
      </c>
    </row>
    <row r="661" spans="1:1" x14ac:dyDescent="0.25">
      <c r="A661" t="s">
        <v>224</v>
      </c>
    </row>
    <row r="662" spans="1:1" x14ac:dyDescent="0.25">
      <c r="A662" t="s">
        <v>910</v>
      </c>
    </row>
    <row r="663" spans="1:1" x14ac:dyDescent="0.25">
      <c r="A663">
        <v>1342</v>
      </c>
    </row>
    <row r="664" spans="1:1" x14ac:dyDescent="0.25">
      <c r="A664">
        <v>195</v>
      </c>
    </row>
    <row r="665" spans="1:1" x14ac:dyDescent="0.25">
      <c r="A665">
        <v>82</v>
      </c>
    </row>
    <row r="666" spans="1:1" x14ac:dyDescent="0.25">
      <c r="A666">
        <v>93</v>
      </c>
    </row>
    <row r="667" spans="1:1" x14ac:dyDescent="0.25">
      <c r="A667">
        <v>1</v>
      </c>
    </row>
    <row r="668" spans="1:1" x14ac:dyDescent="0.25">
      <c r="A668">
        <v>64</v>
      </c>
    </row>
    <row r="669" spans="1:1" x14ac:dyDescent="0.25">
      <c r="A669" t="s">
        <v>911</v>
      </c>
    </row>
    <row r="670" spans="1:1" x14ac:dyDescent="0.25">
      <c r="A670" t="s">
        <v>225</v>
      </c>
    </row>
    <row r="671" spans="1:1" x14ac:dyDescent="0.25">
      <c r="A671" t="s">
        <v>910</v>
      </c>
    </row>
    <row r="672" spans="1:1" x14ac:dyDescent="0.25">
      <c r="A672">
        <v>2059</v>
      </c>
    </row>
    <row r="673" spans="1:1" x14ac:dyDescent="0.25">
      <c r="A673">
        <v>232</v>
      </c>
    </row>
    <row r="674" spans="1:1" x14ac:dyDescent="0.25">
      <c r="A674">
        <v>117</v>
      </c>
    </row>
    <row r="675" spans="1:1" x14ac:dyDescent="0.25">
      <c r="A675">
        <v>120</v>
      </c>
    </row>
    <row r="676" spans="1:1" x14ac:dyDescent="0.25">
      <c r="A676">
        <v>1</v>
      </c>
    </row>
    <row r="677" spans="1:1" x14ac:dyDescent="0.25">
      <c r="A677">
        <v>65</v>
      </c>
    </row>
    <row r="678" spans="1:1" x14ac:dyDescent="0.25">
      <c r="A678" t="s">
        <v>912</v>
      </c>
    </row>
    <row r="679" spans="1:1" x14ac:dyDescent="0.25">
      <c r="A679" t="s">
        <v>226</v>
      </c>
    </row>
    <row r="680" spans="1:1" x14ac:dyDescent="0.25">
      <c r="A680" t="s">
        <v>910</v>
      </c>
    </row>
    <row r="681" spans="1:1" x14ac:dyDescent="0.25">
      <c r="A681">
        <v>3057</v>
      </c>
    </row>
    <row r="682" spans="1:1" x14ac:dyDescent="0.25">
      <c r="A682">
        <v>271</v>
      </c>
    </row>
    <row r="683" spans="1:1" x14ac:dyDescent="0.25">
      <c r="A683">
        <v>167</v>
      </c>
    </row>
    <row r="684" spans="1:1" x14ac:dyDescent="0.25">
      <c r="A684">
        <v>146</v>
      </c>
    </row>
    <row r="685" spans="1:1" x14ac:dyDescent="0.25">
      <c r="A685">
        <v>1</v>
      </c>
    </row>
    <row r="686" spans="1:1" x14ac:dyDescent="0.25">
      <c r="A686">
        <v>66</v>
      </c>
    </row>
    <row r="687" spans="1:1" x14ac:dyDescent="0.25">
      <c r="A687" t="s">
        <v>913</v>
      </c>
    </row>
    <row r="688" spans="1:1" x14ac:dyDescent="0.25">
      <c r="A688" t="s">
        <v>227</v>
      </c>
    </row>
    <row r="689" spans="1:1" x14ac:dyDescent="0.25">
      <c r="A689" t="s">
        <v>901</v>
      </c>
    </row>
    <row r="690" spans="1:1" x14ac:dyDescent="0.25">
      <c r="A690">
        <v>1278</v>
      </c>
    </row>
    <row r="691" spans="1:1" x14ac:dyDescent="0.25">
      <c r="A691">
        <v>137</v>
      </c>
    </row>
    <row r="692" spans="1:1" x14ac:dyDescent="0.25">
      <c r="A692">
        <v>82</v>
      </c>
    </row>
    <row r="693" spans="1:1" x14ac:dyDescent="0.25">
      <c r="A693">
        <v>172</v>
      </c>
    </row>
    <row r="694" spans="1:1" x14ac:dyDescent="0.25">
      <c r="A694">
        <v>1</v>
      </c>
    </row>
    <row r="695" spans="1:1" x14ac:dyDescent="0.25">
      <c r="A695">
        <v>67</v>
      </c>
    </row>
    <row r="696" spans="1:1" x14ac:dyDescent="0.25">
      <c r="A696" t="s">
        <v>914</v>
      </c>
    </row>
    <row r="697" spans="1:1" x14ac:dyDescent="0.25">
      <c r="A697" t="s">
        <v>228</v>
      </c>
    </row>
    <row r="698" spans="1:1" x14ac:dyDescent="0.25">
      <c r="A698" t="s">
        <v>901</v>
      </c>
    </row>
    <row r="699" spans="1:1" x14ac:dyDescent="0.25">
      <c r="A699">
        <v>2031</v>
      </c>
    </row>
    <row r="700" spans="1:1" x14ac:dyDescent="0.25">
      <c r="A700">
        <v>177</v>
      </c>
    </row>
    <row r="701" spans="1:1" x14ac:dyDescent="0.25">
      <c r="A701">
        <v>125</v>
      </c>
    </row>
    <row r="702" spans="1:1" x14ac:dyDescent="0.25">
      <c r="A702">
        <v>190</v>
      </c>
    </row>
    <row r="703" spans="1:1" x14ac:dyDescent="0.25">
      <c r="A703">
        <v>1</v>
      </c>
    </row>
    <row r="704" spans="1:1" x14ac:dyDescent="0.25">
      <c r="A704">
        <v>68</v>
      </c>
    </row>
    <row r="705" spans="1:1" x14ac:dyDescent="0.25">
      <c r="A705" t="s">
        <v>915</v>
      </c>
    </row>
    <row r="706" spans="1:1" x14ac:dyDescent="0.25">
      <c r="A706" t="s">
        <v>229</v>
      </c>
    </row>
    <row r="707" spans="1:1" x14ac:dyDescent="0.25">
      <c r="A707" t="s">
        <v>901</v>
      </c>
    </row>
    <row r="708" spans="1:1" x14ac:dyDescent="0.25">
      <c r="A708">
        <v>3056</v>
      </c>
    </row>
    <row r="709" spans="1:1" x14ac:dyDescent="0.25">
      <c r="A709">
        <v>234</v>
      </c>
    </row>
    <row r="710" spans="1:1" x14ac:dyDescent="0.25">
      <c r="A710">
        <v>159</v>
      </c>
    </row>
    <row r="711" spans="1:1" x14ac:dyDescent="0.25">
      <c r="A711">
        <v>207</v>
      </c>
    </row>
    <row r="712" spans="1:1" x14ac:dyDescent="0.25">
      <c r="A712">
        <v>1</v>
      </c>
    </row>
    <row r="713" spans="1:1" x14ac:dyDescent="0.25">
      <c r="A713">
        <v>69</v>
      </c>
    </row>
    <row r="714" spans="1:1" x14ac:dyDescent="0.25">
      <c r="A714" t="s">
        <v>916</v>
      </c>
    </row>
    <row r="715" spans="1:1" x14ac:dyDescent="0.25">
      <c r="A715" t="s">
        <v>230</v>
      </c>
    </row>
    <row r="716" spans="1:1" x14ac:dyDescent="0.25">
      <c r="A716" t="s">
        <v>800</v>
      </c>
    </row>
    <row r="717" spans="1:1" x14ac:dyDescent="0.25">
      <c r="A717">
        <v>1033</v>
      </c>
    </row>
    <row r="718" spans="1:1" x14ac:dyDescent="0.25">
      <c r="A718">
        <v>139</v>
      </c>
    </row>
    <row r="719" spans="1:1" x14ac:dyDescent="0.25">
      <c r="A719">
        <v>61</v>
      </c>
    </row>
    <row r="720" spans="1:1" x14ac:dyDescent="0.25">
      <c r="A720">
        <v>137</v>
      </c>
    </row>
    <row r="721" spans="1:1" x14ac:dyDescent="0.25">
      <c r="A721">
        <v>1</v>
      </c>
    </row>
    <row r="722" spans="1:1" x14ac:dyDescent="0.25">
      <c r="A722">
        <v>70</v>
      </c>
    </row>
    <row r="723" spans="1:1" x14ac:dyDescent="0.25">
      <c r="A723" t="s">
        <v>917</v>
      </c>
    </row>
    <row r="724" spans="1:1" x14ac:dyDescent="0.25">
      <c r="A724" t="s">
        <v>231</v>
      </c>
    </row>
    <row r="725" spans="1:1" x14ac:dyDescent="0.25">
      <c r="A725" t="s">
        <v>800</v>
      </c>
    </row>
    <row r="726" spans="1:1" x14ac:dyDescent="0.25">
      <c r="A726">
        <v>1611</v>
      </c>
    </row>
    <row r="727" spans="1:1" x14ac:dyDescent="0.25">
      <c r="A727">
        <v>172</v>
      </c>
    </row>
    <row r="728" spans="1:1" x14ac:dyDescent="0.25">
      <c r="A728">
        <v>92</v>
      </c>
    </row>
    <row r="729" spans="1:1" x14ac:dyDescent="0.25">
      <c r="A729">
        <v>163</v>
      </c>
    </row>
    <row r="730" spans="1:1" x14ac:dyDescent="0.25">
      <c r="A730">
        <v>1</v>
      </c>
    </row>
    <row r="731" spans="1:1" x14ac:dyDescent="0.25">
      <c r="A731">
        <v>71</v>
      </c>
    </row>
    <row r="732" spans="1:1" x14ac:dyDescent="0.25">
      <c r="A732" t="s">
        <v>918</v>
      </c>
    </row>
    <row r="733" spans="1:1" x14ac:dyDescent="0.25">
      <c r="A733" t="s">
        <v>232</v>
      </c>
    </row>
    <row r="734" spans="1:1" x14ac:dyDescent="0.25">
      <c r="A734" t="s">
        <v>800</v>
      </c>
    </row>
    <row r="735" spans="1:1" x14ac:dyDescent="0.25">
      <c r="A735">
        <v>2431</v>
      </c>
    </row>
    <row r="736" spans="1:1" x14ac:dyDescent="0.25">
      <c r="A736">
        <v>207</v>
      </c>
    </row>
    <row r="737" spans="1:1" x14ac:dyDescent="0.25">
      <c r="A737">
        <v>135</v>
      </c>
    </row>
    <row r="738" spans="1:1" x14ac:dyDescent="0.25">
      <c r="A738">
        <v>190</v>
      </c>
    </row>
    <row r="739" spans="1:1" x14ac:dyDescent="0.25">
      <c r="A739">
        <v>1</v>
      </c>
    </row>
    <row r="740" spans="1:1" x14ac:dyDescent="0.25">
      <c r="A740">
        <v>72</v>
      </c>
    </row>
    <row r="741" spans="1:1" x14ac:dyDescent="0.25">
      <c r="A741" t="s">
        <v>919</v>
      </c>
    </row>
    <row r="742" spans="1:1" x14ac:dyDescent="0.25">
      <c r="A742" t="s">
        <v>233</v>
      </c>
    </row>
    <row r="743" spans="1:1" x14ac:dyDescent="0.25">
      <c r="A743" t="s">
        <v>920</v>
      </c>
    </row>
    <row r="744" spans="1:1" x14ac:dyDescent="0.25">
      <c r="A744">
        <v>1040</v>
      </c>
    </row>
    <row r="745" spans="1:1" x14ac:dyDescent="0.25">
      <c r="A745">
        <v>97</v>
      </c>
    </row>
    <row r="746" spans="1:1" x14ac:dyDescent="0.25">
      <c r="A746">
        <v>149</v>
      </c>
    </row>
    <row r="747" spans="1:1" x14ac:dyDescent="0.25">
      <c r="A747">
        <v>120</v>
      </c>
    </row>
    <row r="748" spans="1:1" x14ac:dyDescent="0.25">
      <c r="A748">
        <v>1</v>
      </c>
    </row>
    <row r="749" spans="1:1" x14ac:dyDescent="0.25">
      <c r="A749">
        <v>73</v>
      </c>
    </row>
    <row r="750" spans="1:1" x14ac:dyDescent="0.25">
      <c r="A750" t="s">
        <v>921</v>
      </c>
    </row>
    <row r="751" spans="1:1" x14ac:dyDescent="0.25">
      <c r="A751" t="s">
        <v>234</v>
      </c>
    </row>
    <row r="752" spans="1:1" x14ac:dyDescent="0.25">
      <c r="A752" t="s">
        <v>920</v>
      </c>
    </row>
    <row r="753" spans="1:1" x14ac:dyDescent="0.25">
      <c r="A753">
        <v>2422</v>
      </c>
    </row>
    <row r="754" spans="1:1" x14ac:dyDescent="0.25">
      <c r="A754">
        <v>166</v>
      </c>
    </row>
    <row r="755" spans="1:1" x14ac:dyDescent="0.25">
      <c r="A755">
        <v>209</v>
      </c>
    </row>
    <row r="756" spans="1:1" x14ac:dyDescent="0.25">
      <c r="A756">
        <v>190</v>
      </c>
    </row>
    <row r="757" spans="1:1" x14ac:dyDescent="0.25">
      <c r="A757">
        <v>1</v>
      </c>
    </row>
    <row r="758" spans="1:1" x14ac:dyDescent="0.25">
      <c r="A758">
        <v>74</v>
      </c>
    </row>
    <row r="759" spans="1:1" x14ac:dyDescent="0.25">
      <c r="A759" t="s">
        <v>922</v>
      </c>
    </row>
    <row r="760" spans="1:1" x14ac:dyDescent="0.25">
      <c r="A760" t="s">
        <v>111</v>
      </c>
    </row>
    <row r="761" spans="1:1" x14ac:dyDescent="0.25">
      <c r="A761" t="s">
        <v>923</v>
      </c>
    </row>
    <row r="762" spans="1:1" x14ac:dyDescent="0.25">
      <c r="A762">
        <v>1293</v>
      </c>
    </row>
    <row r="763" spans="1:1" x14ac:dyDescent="0.25">
      <c r="A763">
        <v>132</v>
      </c>
    </row>
    <row r="764" spans="1:1" x14ac:dyDescent="0.25">
      <c r="A764">
        <v>132</v>
      </c>
    </row>
    <row r="765" spans="1:1" x14ac:dyDescent="0.25">
      <c r="A765">
        <v>120</v>
      </c>
    </row>
    <row r="766" spans="1:1" x14ac:dyDescent="0.25">
      <c r="A766">
        <v>1</v>
      </c>
    </row>
    <row r="767" spans="1:1" x14ac:dyDescent="0.25">
      <c r="A767">
        <v>74</v>
      </c>
    </row>
    <row r="768" spans="1:1" x14ac:dyDescent="0.25">
      <c r="A768" t="s">
        <v>924</v>
      </c>
    </row>
    <row r="769" spans="1:1" x14ac:dyDescent="0.25">
      <c r="A769" t="s">
        <v>925</v>
      </c>
    </row>
    <row r="770" spans="1:1" x14ac:dyDescent="0.25">
      <c r="A770" t="s">
        <v>926</v>
      </c>
    </row>
    <row r="771" spans="1:1" x14ac:dyDescent="0.25">
      <c r="A771">
        <v>1293</v>
      </c>
    </row>
    <row r="772" spans="1:1" x14ac:dyDescent="0.25">
      <c r="A772">
        <v>132</v>
      </c>
    </row>
    <row r="773" spans="1:1" x14ac:dyDescent="0.25">
      <c r="A773">
        <v>132</v>
      </c>
    </row>
    <row r="774" spans="1:1" x14ac:dyDescent="0.25">
      <c r="A774">
        <v>120</v>
      </c>
    </row>
    <row r="775" spans="1:1" x14ac:dyDescent="0.25">
      <c r="A775">
        <v>1</v>
      </c>
    </row>
    <row r="776" spans="1:1" x14ac:dyDescent="0.25">
      <c r="A776">
        <v>75</v>
      </c>
    </row>
    <row r="777" spans="1:1" x14ac:dyDescent="0.25">
      <c r="A777" t="s">
        <v>927</v>
      </c>
    </row>
    <row r="778" spans="1:1" x14ac:dyDescent="0.25">
      <c r="A778" t="s">
        <v>112</v>
      </c>
    </row>
    <row r="779" spans="1:1" x14ac:dyDescent="0.25">
      <c r="A779" t="s">
        <v>923</v>
      </c>
    </row>
    <row r="780" spans="1:1" x14ac:dyDescent="0.25">
      <c r="A780">
        <v>1897</v>
      </c>
    </row>
    <row r="781" spans="1:1" x14ac:dyDescent="0.25">
      <c r="A781">
        <v>164</v>
      </c>
    </row>
    <row r="782" spans="1:1" x14ac:dyDescent="0.25">
      <c r="A782">
        <v>164</v>
      </c>
    </row>
    <row r="783" spans="1:1" x14ac:dyDescent="0.25">
      <c r="A783">
        <v>146</v>
      </c>
    </row>
    <row r="784" spans="1:1" x14ac:dyDescent="0.25">
      <c r="A784">
        <v>1</v>
      </c>
    </row>
    <row r="785" spans="1:1" x14ac:dyDescent="0.25">
      <c r="A785">
        <v>75</v>
      </c>
    </row>
    <row r="786" spans="1:1" x14ac:dyDescent="0.25">
      <c r="A786" t="s">
        <v>928</v>
      </c>
    </row>
    <row r="787" spans="1:1" x14ac:dyDescent="0.25">
      <c r="A787" t="s">
        <v>929</v>
      </c>
    </row>
    <row r="788" spans="1:1" x14ac:dyDescent="0.25">
      <c r="A788" t="s">
        <v>926</v>
      </c>
    </row>
    <row r="789" spans="1:1" x14ac:dyDescent="0.25">
      <c r="A789">
        <v>1897</v>
      </c>
    </row>
    <row r="790" spans="1:1" x14ac:dyDescent="0.25">
      <c r="A790">
        <v>164</v>
      </c>
    </row>
    <row r="791" spans="1:1" x14ac:dyDescent="0.25">
      <c r="A791">
        <v>164</v>
      </c>
    </row>
    <row r="792" spans="1:1" x14ac:dyDescent="0.25">
      <c r="A792">
        <v>146</v>
      </c>
    </row>
    <row r="793" spans="1:1" x14ac:dyDescent="0.25">
      <c r="A793">
        <v>1</v>
      </c>
    </row>
    <row r="794" spans="1:1" x14ac:dyDescent="0.25">
      <c r="A794">
        <v>76</v>
      </c>
    </row>
    <row r="795" spans="1:1" x14ac:dyDescent="0.25">
      <c r="A795" t="s">
        <v>930</v>
      </c>
    </row>
    <row r="796" spans="1:1" x14ac:dyDescent="0.25">
      <c r="A796" t="s">
        <v>113</v>
      </c>
    </row>
    <row r="797" spans="1:1" x14ac:dyDescent="0.25">
      <c r="A797" t="s">
        <v>923</v>
      </c>
    </row>
    <row r="798" spans="1:1" x14ac:dyDescent="0.25">
      <c r="A798">
        <v>2949</v>
      </c>
    </row>
    <row r="799" spans="1:1" x14ac:dyDescent="0.25">
      <c r="A799">
        <v>211</v>
      </c>
    </row>
    <row r="800" spans="1:1" x14ac:dyDescent="0.25">
      <c r="A800">
        <v>198</v>
      </c>
    </row>
    <row r="801" spans="1:1" x14ac:dyDescent="0.25">
      <c r="A801">
        <v>190</v>
      </c>
    </row>
    <row r="802" spans="1:1" x14ac:dyDescent="0.25">
      <c r="A802">
        <v>1</v>
      </c>
    </row>
    <row r="803" spans="1:1" x14ac:dyDescent="0.25">
      <c r="A803">
        <v>76</v>
      </c>
    </row>
    <row r="804" spans="1:1" x14ac:dyDescent="0.25">
      <c r="A804" t="s">
        <v>931</v>
      </c>
    </row>
    <row r="805" spans="1:1" x14ac:dyDescent="0.25">
      <c r="A805" t="s">
        <v>932</v>
      </c>
    </row>
    <row r="806" spans="1:1" x14ac:dyDescent="0.25">
      <c r="A806" t="s">
        <v>926</v>
      </c>
    </row>
    <row r="807" spans="1:1" x14ac:dyDescent="0.25">
      <c r="A807">
        <v>2949</v>
      </c>
    </row>
    <row r="808" spans="1:1" x14ac:dyDescent="0.25">
      <c r="A808">
        <v>211</v>
      </c>
    </row>
    <row r="809" spans="1:1" x14ac:dyDescent="0.25">
      <c r="A809">
        <v>198</v>
      </c>
    </row>
    <row r="810" spans="1:1" x14ac:dyDescent="0.25">
      <c r="A810">
        <v>190</v>
      </c>
    </row>
    <row r="811" spans="1:1" x14ac:dyDescent="0.25">
      <c r="A811">
        <v>1</v>
      </c>
    </row>
    <row r="812" spans="1:1" x14ac:dyDescent="0.25">
      <c r="A812">
        <v>77</v>
      </c>
    </row>
    <row r="813" spans="1:1" x14ac:dyDescent="0.25">
      <c r="A813" t="s">
        <v>933</v>
      </c>
    </row>
    <row r="814" spans="1:1" x14ac:dyDescent="0.25">
      <c r="A814" t="s">
        <v>235</v>
      </c>
    </row>
    <row r="815" spans="1:1" x14ac:dyDescent="0.25">
      <c r="A815" t="s">
        <v>804</v>
      </c>
    </row>
    <row r="816" spans="1:1" x14ac:dyDescent="0.25">
      <c r="A816">
        <v>1697</v>
      </c>
    </row>
    <row r="817" spans="1:1" x14ac:dyDescent="0.25">
      <c r="A817">
        <v>170</v>
      </c>
    </row>
    <row r="818" spans="1:1" x14ac:dyDescent="0.25">
      <c r="A818">
        <v>127</v>
      </c>
    </row>
    <row r="819" spans="1:1" x14ac:dyDescent="0.25">
      <c r="A819">
        <v>137</v>
      </c>
    </row>
    <row r="820" spans="1:1" x14ac:dyDescent="0.25">
      <c r="A820">
        <v>1</v>
      </c>
    </row>
    <row r="821" spans="1:1" x14ac:dyDescent="0.25">
      <c r="A821">
        <v>78</v>
      </c>
    </row>
    <row r="822" spans="1:1" x14ac:dyDescent="0.25">
      <c r="A822" t="s">
        <v>934</v>
      </c>
    </row>
    <row r="823" spans="1:1" x14ac:dyDescent="0.25">
      <c r="A823" t="s">
        <v>236</v>
      </c>
    </row>
    <row r="824" spans="1:1" x14ac:dyDescent="0.25">
      <c r="A824" t="s">
        <v>804</v>
      </c>
    </row>
    <row r="825" spans="1:1" x14ac:dyDescent="0.25">
      <c r="A825">
        <v>2461</v>
      </c>
    </row>
    <row r="826" spans="1:1" x14ac:dyDescent="0.25">
      <c r="A826">
        <v>207</v>
      </c>
    </row>
    <row r="827" spans="1:1" x14ac:dyDescent="0.25">
      <c r="A827">
        <v>162</v>
      </c>
    </row>
    <row r="828" spans="1:1" x14ac:dyDescent="0.25">
      <c r="A828">
        <v>163</v>
      </c>
    </row>
    <row r="829" spans="1:1" x14ac:dyDescent="0.25">
      <c r="A829">
        <v>1</v>
      </c>
    </row>
    <row r="830" spans="1:1" x14ac:dyDescent="0.25">
      <c r="A830">
        <v>79</v>
      </c>
    </row>
    <row r="831" spans="1:1" x14ac:dyDescent="0.25">
      <c r="A831" t="s">
        <v>935</v>
      </c>
    </row>
    <row r="832" spans="1:1" x14ac:dyDescent="0.25">
      <c r="A832" t="s">
        <v>237</v>
      </c>
    </row>
    <row r="833" spans="1:1" x14ac:dyDescent="0.25">
      <c r="A833" t="s">
        <v>936</v>
      </c>
    </row>
    <row r="834" spans="1:1" x14ac:dyDescent="0.25">
      <c r="A834">
        <v>1226</v>
      </c>
    </row>
    <row r="835" spans="1:1" x14ac:dyDescent="0.25">
      <c r="A835">
        <v>109</v>
      </c>
    </row>
    <row r="836" spans="1:1" x14ac:dyDescent="0.25">
      <c r="A836">
        <v>98</v>
      </c>
    </row>
    <row r="837" spans="1:1" x14ac:dyDescent="0.25">
      <c r="A837">
        <v>207</v>
      </c>
    </row>
    <row r="838" spans="1:1" x14ac:dyDescent="0.25">
      <c r="A838">
        <v>1</v>
      </c>
    </row>
    <row r="839" spans="1:1" x14ac:dyDescent="0.25">
      <c r="A839">
        <v>80</v>
      </c>
    </row>
    <row r="840" spans="1:1" x14ac:dyDescent="0.25">
      <c r="A840" t="s">
        <v>937</v>
      </c>
    </row>
    <row r="841" spans="1:1" x14ac:dyDescent="0.25">
      <c r="A841" t="s">
        <v>238</v>
      </c>
    </row>
    <row r="842" spans="1:1" x14ac:dyDescent="0.25">
      <c r="A842" t="s">
        <v>936</v>
      </c>
    </row>
    <row r="843" spans="1:1" x14ac:dyDescent="0.25">
      <c r="A843">
        <v>2545</v>
      </c>
    </row>
    <row r="844" spans="1:1" x14ac:dyDescent="0.25">
      <c r="A844">
        <v>177</v>
      </c>
    </row>
    <row r="845" spans="1:1" x14ac:dyDescent="0.25">
      <c r="A845">
        <v>180</v>
      </c>
    </row>
    <row r="846" spans="1:1" x14ac:dyDescent="0.25">
      <c r="A846">
        <v>216</v>
      </c>
    </row>
    <row r="847" spans="1:1" x14ac:dyDescent="0.25">
      <c r="A847">
        <v>1</v>
      </c>
    </row>
    <row r="848" spans="1:1" x14ac:dyDescent="0.25">
      <c r="A848">
        <v>81</v>
      </c>
    </row>
    <row r="849" spans="1:1" x14ac:dyDescent="0.25">
      <c r="A849" t="s">
        <v>938</v>
      </c>
    </row>
    <row r="850" spans="1:1" x14ac:dyDescent="0.25">
      <c r="A850" t="s">
        <v>239</v>
      </c>
    </row>
    <row r="851" spans="1:1" x14ac:dyDescent="0.25">
      <c r="A851" t="s">
        <v>939</v>
      </c>
    </row>
    <row r="852" spans="1:1" x14ac:dyDescent="0.25">
      <c r="A852">
        <v>1362</v>
      </c>
    </row>
    <row r="853" spans="1:1" x14ac:dyDescent="0.25">
      <c r="A853">
        <v>165</v>
      </c>
    </row>
    <row r="854" spans="1:1" x14ac:dyDescent="0.25">
      <c r="A854">
        <v>121</v>
      </c>
    </row>
    <row r="855" spans="1:1" x14ac:dyDescent="0.25">
      <c r="A855">
        <v>93</v>
      </c>
    </row>
    <row r="856" spans="1:1" x14ac:dyDescent="0.25">
      <c r="A856">
        <v>1</v>
      </c>
    </row>
    <row r="857" spans="1:1" x14ac:dyDescent="0.25">
      <c r="A857">
        <v>82</v>
      </c>
    </row>
    <row r="858" spans="1:1" x14ac:dyDescent="0.25">
      <c r="A858" t="s">
        <v>940</v>
      </c>
    </row>
    <row r="859" spans="1:1" x14ac:dyDescent="0.25">
      <c r="A859" t="s">
        <v>240</v>
      </c>
    </row>
    <row r="860" spans="1:1" x14ac:dyDescent="0.25">
      <c r="A860" t="s">
        <v>939</v>
      </c>
    </row>
    <row r="861" spans="1:1" x14ac:dyDescent="0.25">
      <c r="A861">
        <v>2485</v>
      </c>
    </row>
    <row r="862" spans="1:1" x14ac:dyDescent="0.25">
      <c r="A862">
        <v>223</v>
      </c>
    </row>
    <row r="863" spans="1:1" x14ac:dyDescent="0.25">
      <c r="A863">
        <v>169</v>
      </c>
    </row>
    <row r="864" spans="1:1" x14ac:dyDescent="0.25">
      <c r="A864">
        <v>137</v>
      </c>
    </row>
    <row r="865" spans="1:1" x14ac:dyDescent="0.25">
      <c r="A865">
        <v>1</v>
      </c>
    </row>
    <row r="866" spans="1:1" x14ac:dyDescent="0.25">
      <c r="A866">
        <v>83</v>
      </c>
    </row>
    <row r="867" spans="1:1" x14ac:dyDescent="0.25">
      <c r="A867" t="s">
        <v>941</v>
      </c>
    </row>
    <row r="868" spans="1:1" x14ac:dyDescent="0.25">
      <c r="A868" t="s">
        <v>529</v>
      </c>
    </row>
    <row r="869" spans="1:1" x14ac:dyDescent="0.25">
      <c r="A869" t="s">
        <v>822</v>
      </c>
    </row>
    <row r="870" spans="1:1" x14ac:dyDescent="0.25">
      <c r="A870">
        <v>1236</v>
      </c>
    </row>
    <row r="871" spans="1:1" x14ac:dyDescent="0.25">
      <c r="A871">
        <v>124</v>
      </c>
    </row>
    <row r="872" spans="1:1" x14ac:dyDescent="0.25">
      <c r="A872">
        <v>115</v>
      </c>
    </row>
    <row r="873" spans="1:1" x14ac:dyDescent="0.25">
      <c r="A873">
        <v>141</v>
      </c>
    </row>
    <row r="874" spans="1:1" x14ac:dyDescent="0.25">
      <c r="A874">
        <v>1</v>
      </c>
    </row>
    <row r="875" spans="1:1" x14ac:dyDescent="0.25">
      <c r="A875">
        <v>84</v>
      </c>
    </row>
    <row r="876" spans="1:1" x14ac:dyDescent="0.25">
      <c r="A876" t="s">
        <v>942</v>
      </c>
    </row>
    <row r="877" spans="1:1" x14ac:dyDescent="0.25">
      <c r="A877" t="s">
        <v>241</v>
      </c>
    </row>
    <row r="878" spans="1:1" x14ac:dyDescent="0.25">
      <c r="A878" t="s">
        <v>822</v>
      </c>
    </row>
    <row r="879" spans="1:1" x14ac:dyDescent="0.25">
      <c r="A879">
        <v>1200</v>
      </c>
    </row>
    <row r="880" spans="1:1" x14ac:dyDescent="0.25">
      <c r="A880">
        <v>158</v>
      </c>
    </row>
    <row r="881" spans="1:1" x14ac:dyDescent="0.25">
      <c r="A881">
        <v>83</v>
      </c>
    </row>
    <row r="882" spans="1:1" x14ac:dyDescent="0.25">
      <c r="A882">
        <v>111</v>
      </c>
    </row>
    <row r="883" spans="1:1" x14ac:dyDescent="0.25">
      <c r="A883">
        <v>1</v>
      </c>
    </row>
    <row r="884" spans="1:1" x14ac:dyDescent="0.25">
      <c r="A884">
        <v>85</v>
      </c>
    </row>
    <row r="885" spans="1:1" x14ac:dyDescent="0.25">
      <c r="A885" t="s">
        <v>943</v>
      </c>
    </row>
    <row r="886" spans="1:1" x14ac:dyDescent="0.25">
      <c r="A886" t="s">
        <v>242</v>
      </c>
    </row>
    <row r="887" spans="1:1" x14ac:dyDescent="0.25">
      <c r="A887" t="s">
        <v>822</v>
      </c>
    </row>
    <row r="888" spans="1:1" x14ac:dyDescent="0.25">
      <c r="A888">
        <v>2362</v>
      </c>
    </row>
    <row r="889" spans="1:1" x14ac:dyDescent="0.25">
      <c r="A889">
        <v>218</v>
      </c>
    </row>
    <row r="890" spans="1:1" x14ac:dyDescent="0.25">
      <c r="A890">
        <v>140</v>
      </c>
    </row>
    <row r="891" spans="1:1" x14ac:dyDescent="0.25">
      <c r="A891">
        <v>155</v>
      </c>
    </row>
    <row r="892" spans="1:1" x14ac:dyDescent="0.25">
      <c r="A892">
        <v>1</v>
      </c>
    </row>
    <row r="893" spans="1:1" x14ac:dyDescent="0.25">
      <c r="A893">
        <v>86</v>
      </c>
    </row>
    <row r="894" spans="1:1" x14ac:dyDescent="0.25">
      <c r="A894" t="s">
        <v>944</v>
      </c>
    </row>
    <row r="895" spans="1:1" x14ac:dyDescent="0.25">
      <c r="A895" t="s">
        <v>243</v>
      </c>
    </row>
    <row r="896" spans="1:1" x14ac:dyDescent="0.25">
      <c r="A896" t="s">
        <v>809</v>
      </c>
    </row>
    <row r="897" spans="1:1" x14ac:dyDescent="0.25">
      <c r="A897">
        <v>971</v>
      </c>
    </row>
    <row r="898" spans="1:1" x14ac:dyDescent="0.25">
      <c r="A898">
        <v>85</v>
      </c>
    </row>
    <row r="899" spans="1:1" x14ac:dyDescent="0.25">
      <c r="A899">
        <v>121</v>
      </c>
    </row>
    <row r="900" spans="1:1" x14ac:dyDescent="0.25">
      <c r="A900">
        <v>163</v>
      </c>
    </row>
    <row r="901" spans="1:1" x14ac:dyDescent="0.25">
      <c r="A901">
        <v>1</v>
      </c>
    </row>
    <row r="902" spans="1:1" x14ac:dyDescent="0.25">
      <c r="A902">
        <v>87</v>
      </c>
    </row>
    <row r="903" spans="1:1" x14ac:dyDescent="0.25">
      <c r="A903" t="s">
        <v>945</v>
      </c>
    </row>
    <row r="904" spans="1:1" x14ac:dyDescent="0.25">
      <c r="A904" t="s">
        <v>244</v>
      </c>
    </row>
    <row r="905" spans="1:1" x14ac:dyDescent="0.25">
      <c r="A905" t="s">
        <v>946</v>
      </c>
    </row>
    <row r="906" spans="1:1" x14ac:dyDescent="0.25">
      <c r="A906">
        <v>1985</v>
      </c>
    </row>
    <row r="907" spans="1:1" x14ac:dyDescent="0.25">
      <c r="A907">
        <v>139</v>
      </c>
    </row>
    <row r="908" spans="1:1" x14ac:dyDescent="0.25">
      <c r="A908">
        <v>177</v>
      </c>
    </row>
    <row r="909" spans="1:1" x14ac:dyDescent="0.25">
      <c r="A909">
        <v>207</v>
      </c>
    </row>
    <row r="910" spans="1:1" x14ac:dyDescent="0.25">
      <c r="A910">
        <v>1</v>
      </c>
    </row>
    <row r="911" spans="1:1" x14ac:dyDescent="0.25">
      <c r="A911">
        <v>88</v>
      </c>
    </row>
    <row r="912" spans="1:1" x14ac:dyDescent="0.25">
      <c r="A912" t="s">
        <v>947</v>
      </c>
    </row>
    <row r="913" spans="1:1" x14ac:dyDescent="0.25">
      <c r="A913" t="s">
        <v>245</v>
      </c>
    </row>
    <row r="914" spans="1:1" x14ac:dyDescent="0.25">
      <c r="A914" t="s">
        <v>836</v>
      </c>
    </row>
    <row r="915" spans="1:1" x14ac:dyDescent="0.25">
      <c r="A915">
        <v>1374</v>
      </c>
    </row>
    <row r="916" spans="1:1" x14ac:dyDescent="0.25">
      <c r="A916">
        <v>135</v>
      </c>
    </row>
    <row r="917" spans="1:1" x14ac:dyDescent="0.25">
      <c r="A917">
        <v>90</v>
      </c>
    </row>
    <row r="918" spans="1:1" x14ac:dyDescent="0.25">
      <c r="A918">
        <v>190</v>
      </c>
    </row>
    <row r="919" spans="1:1" x14ac:dyDescent="0.25">
      <c r="A919">
        <v>1</v>
      </c>
    </row>
    <row r="920" spans="1:1" x14ac:dyDescent="0.25">
      <c r="A920">
        <v>88</v>
      </c>
    </row>
    <row r="921" spans="1:1" x14ac:dyDescent="0.25">
      <c r="A921" t="s">
        <v>948</v>
      </c>
    </row>
    <row r="922" spans="1:1" x14ac:dyDescent="0.25">
      <c r="A922" t="s">
        <v>949</v>
      </c>
    </row>
    <row r="923" spans="1:1" x14ac:dyDescent="0.25">
      <c r="A923" t="s">
        <v>950</v>
      </c>
    </row>
    <row r="924" spans="1:1" x14ac:dyDescent="0.25">
      <c r="A924">
        <v>1374</v>
      </c>
    </row>
    <row r="925" spans="1:1" x14ac:dyDescent="0.25">
      <c r="A925">
        <v>135</v>
      </c>
    </row>
    <row r="926" spans="1:1" x14ac:dyDescent="0.25">
      <c r="A926">
        <v>90</v>
      </c>
    </row>
    <row r="927" spans="1:1" x14ac:dyDescent="0.25">
      <c r="A927">
        <v>190</v>
      </c>
    </row>
    <row r="928" spans="1:1" x14ac:dyDescent="0.25">
      <c r="A928">
        <v>1</v>
      </c>
    </row>
    <row r="929" spans="1:1" x14ac:dyDescent="0.25">
      <c r="A929">
        <v>89</v>
      </c>
    </row>
    <row r="930" spans="1:1" x14ac:dyDescent="0.25">
      <c r="A930" t="s">
        <v>951</v>
      </c>
    </row>
    <row r="931" spans="1:1" x14ac:dyDescent="0.25">
      <c r="A931" t="s">
        <v>246</v>
      </c>
    </row>
    <row r="932" spans="1:1" x14ac:dyDescent="0.25">
      <c r="A932" t="s">
        <v>836</v>
      </c>
    </row>
    <row r="933" spans="1:1" x14ac:dyDescent="0.25">
      <c r="A933">
        <v>2757</v>
      </c>
    </row>
    <row r="934" spans="1:1" x14ac:dyDescent="0.25">
      <c r="A934">
        <v>190</v>
      </c>
    </row>
    <row r="935" spans="1:1" x14ac:dyDescent="0.25">
      <c r="A935">
        <v>172</v>
      </c>
    </row>
    <row r="936" spans="1:1" x14ac:dyDescent="0.25">
      <c r="A936">
        <v>233</v>
      </c>
    </row>
    <row r="937" spans="1:1" x14ac:dyDescent="0.25">
      <c r="A937">
        <v>1</v>
      </c>
    </row>
    <row r="938" spans="1:1" x14ac:dyDescent="0.25">
      <c r="A938">
        <v>89</v>
      </c>
    </row>
    <row r="939" spans="1:1" x14ac:dyDescent="0.25">
      <c r="A939" t="s">
        <v>952</v>
      </c>
    </row>
    <row r="940" spans="1:1" x14ac:dyDescent="0.25">
      <c r="A940" t="s">
        <v>953</v>
      </c>
    </row>
    <row r="941" spans="1:1" x14ac:dyDescent="0.25">
      <c r="A941" t="s">
        <v>950</v>
      </c>
    </row>
    <row r="942" spans="1:1" x14ac:dyDescent="0.25">
      <c r="A942">
        <v>2757</v>
      </c>
    </row>
    <row r="943" spans="1:1" x14ac:dyDescent="0.25">
      <c r="A943">
        <v>190</v>
      </c>
    </row>
    <row r="944" spans="1:1" x14ac:dyDescent="0.25">
      <c r="A944">
        <v>172</v>
      </c>
    </row>
    <row r="945" spans="1:1" x14ac:dyDescent="0.25">
      <c r="A945">
        <v>233</v>
      </c>
    </row>
    <row r="946" spans="1:1" x14ac:dyDescent="0.25">
      <c r="A946">
        <v>1</v>
      </c>
    </row>
    <row r="947" spans="1:1" x14ac:dyDescent="0.25">
      <c r="A947">
        <v>90</v>
      </c>
    </row>
    <row r="948" spans="1:1" x14ac:dyDescent="0.25">
      <c r="A948" t="s">
        <v>954</v>
      </c>
    </row>
    <row r="949" spans="1:1" x14ac:dyDescent="0.25">
      <c r="A949" t="s">
        <v>247</v>
      </c>
    </row>
    <row r="950" spans="1:1" x14ac:dyDescent="0.25">
      <c r="A950" t="s">
        <v>809</v>
      </c>
    </row>
    <row r="951" spans="1:1" x14ac:dyDescent="0.25">
      <c r="A951">
        <v>1080</v>
      </c>
    </row>
    <row r="952" spans="1:1" x14ac:dyDescent="0.25">
      <c r="A952">
        <v>116</v>
      </c>
    </row>
    <row r="953" spans="1:1" x14ac:dyDescent="0.25">
      <c r="A953">
        <v>134</v>
      </c>
    </row>
    <row r="954" spans="1:1" x14ac:dyDescent="0.25">
      <c r="A954">
        <v>102</v>
      </c>
    </row>
    <row r="955" spans="1:1" x14ac:dyDescent="0.25">
      <c r="A955">
        <v>1</v>
      </c>
    </row>
    <row r="956" spans="1:1" x14ac:dyDescent="0.25">
      <c r="A956">
        <v>91</v>
      </c>
    </row>
    <row r="957" spans="1:1" x14ac:dyDescent="0.25">
      <c r="A957" t="s">
        <v>955</v>
      </c>
    </row>
    <row r="958" spans="1:1" x14ac:dyDescent="0.25">
      <c r="A958" t="s">
        <v>248</v>
      </c>
    </row>
    <row r="959" spans="1:1" x14ac:dyDescent="0.25">
      <c r="A959" t="s">
        <v>946</v>
      </c>
    </row>
    <row r="960" spans="1:1" x14ac:dyDescent="0.25">
      <c r="A960">
        <v>2547</v>
      </c>
    </row>
    <row r="961" spans="1:1" x14ac:dyDescent="0.25">
      <c r="A961">
        <v>186</v>
      </c>
    </row>
    <row r="962" spans="1:1" x14ac:dyDescent="0.25">
      <c r="A962">
        <v>256</v>
      </c>
    </row>
    <row r="963" spans="1:1" x14ac:dyDescent="0.25">
      <c r="A963">
        <v>137</v>
      </c>
    </row>
    <row r="964" spans="1:1" x14ac:dyDescent="0.25">
      <c r="A964">
        <v>1</v>
      </c>
    </row>
    <row r="965" spans="1:1" x14ac:dyDescent="0.25">
      <c r="A965">
        <v>92</v>
      </c>
    </row>
    <row r="966" spans="1:1" x14ac:dyDescent="0.25">
      <c r="A966" t="s">
        <v>956</v>
      </c>
    </row>
    <row r="967" spans="1:1" x14ac:dyDescent="0.25">
      <c r="A967" t="s">
        <v>249</v>
      </c>
    </row>
    <row r="968" spans="1:1" x14ac:dyDescent="0.25">
      <c r="A968" t="s">
        <v>957</v>
      </c>
    </row>
    <row r="969" spans="1:1" x14ac:dyDescent="0.25">
      <c r="A969">
        <v>1229</v>
      </c>
    </row>
    <row r="970" spans="1:1" x14ac:dyDescent="0.25">
      <c r="A970">
        <v>186</v>
      </c>
    </row>
    <row r="971" spans="1:1" x14ac:dyDescent="0.25">
      <c r="A971">
        <v>67</v>
      </c>
    </row>
    <row r="972" spans="1:1" x14ac:dyDescent="0.25">
      <c r="A972">
        <v>102</v>
      </c>
    </row>
    <row r="973" spans="1:1" x14ac:dyDescent="0.25">
      <c r="A973">
        <v>1</v>
      </c>
    </row>
    <row r="974" spans="1:1" x14ac:dyDescent="0.25">
      <c r="A974">
        <v>93</v>
      </c>
    </row>
    <row r="975" spans="1:1" x14ac:dyDescent="0.25">
      <c r="A975" t="s">
        <v>958</v>
      </c>
    </row>
    <row r="976" spans="1:1" x14ac:dyDescent="0.25">
      <c r="A976" t="s">
        <v>250</v>
      </c>
    </row>
    <row r="977" spans="1:1" x14ac:dyDescent="0.25">
      <c r="A977" t="s">
        <v>957</v>
      </c>
    </row>
    <row r="978" spans="1:1" x14ac:dyDescent="0.25">
      <c r="A978">
        <v>1963</v>
      </c>
    </row>
    <row r="979" spans="1:1" x14ac:dyDescent="0.25">
      <c r="A979">
        <v>223</v>
      </c>
    </row>
    <row r="980" spans="1:1" x14ac:dyDescent="0.25">
      <c r="A980">
        <v>107</v>
      </c>
    </row>
    <row r="981" spans="1:1" x14ac:dyDescent="0.25">
      <c r="A981">
        <v>128</v>
      </c>
    </row>
    <row r="982" spans="1:1" x14ac:dyDescent="0.25">
      <c r="A982">
        <v>1</v>
      </c>
    </row>
    <row r="983" spans="1:1" x14ac:dyDescent="0.25">
      <c r="A983">
        <v>94</v>
      </c>
    </row>
    <row r="984" spans="1:1" x14ac:dyDescent="0.25">
      <c r="A984" t="s">
        <v>959</v>
      </c>
    </row>
    <row r="985" spans="1:1" x14ac:dyDescent="0.25">
      <c r="A985" t="s">
        <v>251</v>
      </c>
    </row>
    <row r="986" spans="1:1" x14ac:dyDescent="0.25">
      <c r="A986" t="s">
        <v>957</v>
      </c>
    </row>
    <row r="987" spans="1:1" x14ac:dyDescent="0.25">
      <c r="A987">
        <v>2878</v>
      </c>
    </row>
    <row r="988" spans="1:1" x14ac:dyDescent="0.25">
      <c r="A988">
        <v>261</v>
      </c>
    </row>
    <row r="989" spans="1:1" x14ac:dyDescent="0.25">
      <c r="A989">
        <v>149</v>
      </c>
    </row>
    <row r="990" spans="1:1" x14ac:dyDescent="0.25">
      <c r="A990">
        <v>155</v>
      </c>
    </row>
    <row r="991" spans="1:1" x14ac:dyDescent="0.25">
      <c r="A991">
        <v>1</v>
      </c>
    </row>
    <row r="992" spans="1:1" x14ac:dyDescent="0.25">
      <c r="A992">
        <v>95</v>
      </c>
    </row>
    <row r="993" spans="1:1" x14ac:dyDescent="0.25">
      <c r="A993" t="s">
        <v>960</v>
      </c>
    </row>
    <row r="994" spans="1:1" x14ac:dyDescent="0.25">
      <c r="A994" t="s">
        <v>487</v>
      </c>
    </row>
    <row r="995" spans="1:1" x14ac:dyDescent="0.25">
      <c r="A995" t="s">
        <v>923</v>
      </c>
    </row>
    <row r="996" spans="1:1" x14ac:dyDescent="0.25">
      <c r="A996">
        <v>1101</v>
      </c>
    </row>
    <row r="997" spans="1:1" x14ac:dyDescent="0.25">
      <c r="A997">
        <v>85</v>
      </c>
    </row>
    <row r="998" spans="1:1" x14ac:dyDescent="0.25">
      <c r="A998">
        <v>232</v>
      </c>
    </row>
    <row r="999" spans="1:1" x14ac:dyDescent="0.25">
      <c r="A999">
        <v>111</v>
      </c>
    </row>
    <row r="1000" spans="1:1" x14ac:dyDescent="0.25">
      <c r="A1000">
        <v>1</v>
      </c>
    </row>
    <row r="1001" spans="1:1" x14ac:dyDescent="0.25">
      <c r="A1001">
        <v>96</v>
      </c>
    </row>
    <row r="1002" spans="1:1" x14ac:dyDescent="0.25">
      <c r="A1002" t="s">
        <v>961</v>
      </c>
    </row>
    <row r="1003" spans="1:1" x14ac:dyDescent="0.25">
      <c r="A1003" t="s">
        <v>252</v>
      </c>
    </row>
    <row r="1004" spans="1:1" x14ac:dyDescent="0.25">
      <c r="A1004" t="s">
        <v>910</v>
      </c>
    </row>
    <row r="1005" spans="1:1" x14ac:dyDescent="0.25">
      <c r="A1005">
        <v>1040</v>
      </c>
    </row>
    <row r="1006" spans="1:1" x14ac:dyDescent="0.25">
      <c r="A1006">
        <v>89</v>
      </c>
    </row>
    <row r="1007" spans="1:1" x14ac:dyDescent="0.25">
      <c r="A1007">
        <v>136</v>
      </c>
    </row>
    <row r="1008" spans="1:1" x14ac:dyDescent="0.25">
      <c r="A1008">
        <v>155</v>
      </c>
    </row>
    <row r="1009" spans="1:1" x14ac:dyDescent="0.25">
      <c r="A1009">
        <v>1</v>
      </c>
    </row>
    <row r="1010" spans="1:1" x14ac:dyDescent="0.25">
      <c r="A1010">
        <v>97</v>
      </c>
    </row>
    <row r="1011" spans="1:1" x14ac:dyDescent="0.25">
      <c r="A1011" t="s">
        <v>962</v>
      </c>
    </row>
    <row r="1012" spans="1:1" x14ac:dyDescent="0.25">
      <c r="A1012" t="s">
        <v>253</v>
      </c>
    </row>
    <row r="1013" spans="1:1" x14ac:dyDescent="0.25">
      <c r="A1013" t="s">
        <v>910</v>
      </c>
    </row>
    <row r="1014" spans="1:1" x14ac:dyDescent="0.25">
      <c r="A1014">
        <v>2090</v>
      </c>
    </row>
    <row r="1015" spans="1:1" x14ac:dyDescent="0.25">
      <c r="A1015">
        <v>144</v>
      </c>
    </row>
    <row r="1016" spans="1:1" x14ac:dyDescent="0.25">
      <c r="A1016">
        <v>193</v>
      </c>
    </row>
    <row r="1017" spans="1:1" x14ac:dyDescent="0.25">
      <c r="A1017">
        <v>198</v>
      </c>
    </row>
    <row r="1018" spans="1:1" x14ac:dyDescent="0.25">
      <c r="A1018">
        <v>1</v>
      </c>
    </row>
    <row r="1019" spans="1:1" x14ac:dyDescent="0.25">
      <c r="A1019">
        <v>98</v>
      </c>
    </row>
    <row r="1020" spans="1:1" x14ac:dyDescent="0.25">
      <c r="A1020" t="s">
        <v>963</v>
      </c>
    </row>
    <row r="1021" spans="1:1" x14ac:dyDescent="0.25">
      <c r="A1021" t="s">
        <v>254</v>
      </c>
    </row>
    <row r="1022" spans="1:1" x14ac:dyDescent="0.25">
      <c r="A1022" t="s">
        <v>809</v>
      </c>
    </row>
    <row r="1023" spans="1:1" x14ac:dyDescent="0.25">
      <c r="A1023">
        <v>1561</v>
      </c>
    </row>
    <row r="1024" spans="1:1" x14ac:dyDescent="0.25">
      <c r="A1024">
        <v>181</v>
      </c>
    </row>
    <row r="1025" spans="1:1" x14ac:dyDescent="0.25">
      <c r="A1025">
        <v>124</v>
      </c>
    </row>
    <row r="1026" spans="1:1" x14ac:dyDescent="0.25">
      <c r="A1026">
        <v>102</v>
      </c>
    </row>
    <row r="1027" spans="1:1" x14ac:dyDescent="0.25">
      <c r="A1027">
        <v>1</v>
      </c>
    </row>
    <row r="1028" spans="1:1" x14ac:dyDescent="0.25">
      <c r="A1028">
        <v>99</v>
      </c>
    </row>
    <row r="1029" spans="1:1" x14ac:dyDescent="0.25">
      <c r="A1029" t="s">
        <v>964</v>
      </c>
    </row>
    <row r="1030" spans="1:1" x14ac:dyDescent="0.25">
      <c r="A1030" t="s">
        <v>255</v>
      </c>
    </row>
    <row r="1031" spans="1:1" x14ac:dyDescent="0.25">
      <c r="A1031" t="s">
        <v>809</v>
      </c>
    </row>
    <row r="1032" spans="1:1" x14ac:dyDescent="0.25">
      <c r="A1032">
        <v>2829</v>
      </c>
    </row>
    <row r="1033" spans="1:1" x14ac:dyDescent="0.25">
      <c r="A1033">
        <v>240</v>
      </c>
    </row>
    <row r="1034" spans="1:1" x14ac:dyDescent="0.25">
      <c r="A1034">
        <v>181</v>
      </c>
    </row>
    <row r="1035" spans="1:1" x14ac:dyDescent="0.25">
      <c r="A1035">
        <v>146</v>
      </c>
    </row>
    <row r="1036" spans="1:1" x14ac:dyDescent="0.25">
      <c r="A1036">
        <v>1</v>
      </c>
    </row>
    <row r="1037" spans="1:1" x14ac:dyDescent="0.25">
      <c r="A1037">
        <v>100</v>
      </c>
    </row>
    <row r="1038" spans="1:1" x14ac:dyDescent="0.25">
      <c r="A1038" t="s">
        <v>965</v>
      </c>
    </row>
    <row r="1039" spans="1:1" x14ac:dyDescent="0.25">
      <c r="A1039" t="s">
        <v>256</v>
      </c>
    </row>
    <row r="1040" spans="1:1" x14ac:dyDescent="0.25">
      <c r="A1040" t="s">
        <v>839</v>
      </c>
    </row>
    <row r="1041" spans="1:1" x14ac:dyDescent="0.25">
      <c r="A1041">
        <v>1010</v>
      </c>
    </row>
    <row r="1042" spans="1:1" x14ac:dyDescent="0.25">
      <c r="A1042">
        <v>109</v>
      </c>
    </row>
    <row r="1043" spans="1:1" x14ac:dyDescent="0.25">
      <c r="A1043">
        <v>111</v>
      </c>
    </row>
    <row r="1044" spans="1:1" x14ac:dyDescent="0.25">
      <c r="A1044">
        <v>120</v>
      </c>
    </row>
    <row r="1045" spans="1:1" x14ac:dyDescent="0.25">
      <c r="A1045">
        <v>1</v>
      </c>
    </row>
    <row r="1046" spans="1:1" x14ac:dyDescent="0.25">
      <c r="A1046">
        <v>101</v>
      </c>
    </row>
    <row r="1047" spans="1:1" x14ac:dyDescent="0.25">
      <c r="A1047" t="s">
        <v>966</v>
      </c>
    </row>
    <row r="1048" spans="1:1" x14ac:dyDescent="0.25">
      <c r="A1048" t="s">
        <v>257</v>
      </c>
    </row>
    <row r="1049" spans="1:1" x14ac:dyDescent="0.25">
      <c r="A1049" t="s">
        <v>839</v>
      </c>
    </row>
    <row r="1050" spans="1:1" x14ac:dyDescent="0.25">
      <c r="A1050">
        <v>2099</v>
      </c>
    </row>
    <row r="1051" spans="1:1" x14ac:dyDescent="0.25">
      <c r="A1051">
        <v>173</v>
      </c>
    </row>
    <row r="1052" spans="1:1" x14ac:dyDescent="0.25">
      <c r="A1052">
        <v>173</v>
      </c>
    </row>
    <row r="1053" spans="1:1" x14ac:dyDescent="0.25">
      <c r="A1053">
        <v>155</v>
      </c>
    </row>
    <row r="1054" spans="1:1" x14ac:dyDescent="0.25">
      <c r="A1054">
        <v>1</v>
      </c>
    </row>
    <row r="1055" spans="1:1" x14ac:dyDescent="0.25">
      <c r="A1055">
        <v>102</v>
      </c>
    </row>
    <row r="1056" spans="1:1" x14ac:dyDescent="0.25">
      <c r="A1056" t="s">
        <v>967</v>
      </c>
    </row>
    <row r="1057" spans="1:1" x14ac:dyDescent="0.25">
      <c r="A1057" t="s">
        <v>258</v>
      </c>
    </row>
    <row r="1058" spans="1:1" x14ac:dyDescent="0.25">
      <c r="A1058" t="s">
        <v>968</v>
      </c>
    </row>
    <row r="1059" spans="1:1" x14ac:dyDescent="0.25">
      <c r="A1059">
        <v>1175</v>
      </c>
    </row>
    <row r="1060" spans="1:1" x14ac:dyDescent="0.25">
      <c r="A1060">
        <v>107</v>
      </c>
    </row>
    <row r="1061" spans="1:1" x14ac:dyDescent="0.25">
      <c r="A1061">
        <v>125</v>
      </c>
    </row>
    <row r="1062" spans="1:1" x14ac:dyDescent="0.25">
      <c r="A1062">
        <v>155</v>
      </c>
    </row>
    <row r="1063" spans="1:1" x14ac:dyDescent="0.25">
      <c r="A1063">
        <v>1</v>
      </c>
    </row>
    <row r="1064" spans="1:1" x14ac:dyDescent="0.25">
      <c r="A1064">
        <v>103</v>
      </c>
    </row>
    <row r="1065" spans="1:1" x14ac:dyDescent="0.25">
      <c r="A1065" t="s">
        <v>969</v>
      </c>
    </row>
    <row r="1066" spans="1:1" x14ac:dyDescent="0.25">
      <c r="A1066" t="s">
        <v>259</v>
      </c>
    </row>
    <row r="1067" spans="1:1" x14ac:dyDescent="0.25">
      <c r="A1067" t="s">
        <v>968</v>
      </c>
    </row>
    <row r="1068" spans="1:1" x14ac:dyDescent="0.25">
      <c r="A1068">
        <v>3014</v>
      </c>
    </row>
    <row r="1069" spans="1:1" x14ac:dyDescent="0.25">
      <c r="A1069">
        <v>233</v>
      </c>
    </row>
    <row r="1070" spans="1:1" x14ac:dyDescent="0.25">
      <c r="A1070">
        <v>149</v>
      </c>
    </row>
    <row r="1071" spans="1:1" x14ac:dyDescent="0.25">
      <c r="A1071">
        <v>216</v>
      </c>
    </row>
    <row r="1072" spans="1:1" x14ac:dyDescent="0.25">
      <c r="A1072">
        <v>1</v>
      </c>
    </row>
    <row r="1073" spans="1:1" x14ac:dyDescent="0.25">
      <c r="A1073">
        <v>103</v>
      </c>
    </row>
    <row r="1074" spans="1:1" x14ac:dyDescent="0.25">
      <c r="A1074" t="s">
        <v>970</v>
      </c>
    </row>
    <row r="1075" spans="1:1" x14ac:dyDescent="0.25">
      <c r="A1075" t="s">
        <v>971</v>
      </c>
    </row>
    <row r="1076" spans="1:1" x14ac:dyDescent="0.25">
      <c r="A1076" t="s">
        <v>972</v>
      </c>
    </row>
    <row r="1077" spans="1:1" x14ac:dyDescent="0.25">
      <c r="A1077">
        <v>3014</v>
      </c>
    </row>
    <row r="1078" spans="1:1" x14ac:dyDescent="0.25">
      <c r="A1078">
        <v>230</v>
      </c>
    </row>
    <row r="1079" spans="1:1" x14ac:dyDescent="0.25">
      <c r="A1079">
        <v>153</v>
      </c>
    </row>
    <row r="1080" spans="1:1" x14ac:dyDescent="0.25">
      <c r="A1080">
        <v>216</v>
      </c>
    </row>
    <row r="1081" spans="1:1" x14ac:dyDescent="0.25">
      <c r="A1081">
        <v>1</v>
      </c>
    </row>
    <row r="1082" spans="1:1" x14ac:dyDescent="0.25">
      <c r="A1082">
        <v>104</v>
      </c>
    </row>
    <row r="1083" spans="1:1" x14ac:dyDescent="0.25">
      <c r="A1083" t="s">
        <v>973</v>
      </c>
    </row>
    <row r="1084" spans="1:1" x14ac:dyDescent="0.25">
      <c r="A1084" t="s">
        <v>260</v>
      </c>
    </row>
    <row r="1085" spans="1:1" x14ac:dyDescent="0.25">
      <c r="A1085" t="s">
        <v>845</v>
      </c>
    </row>
    <row r="1086" spans="1:1" x14ac:dyDescent="0.25">
      <c r="A1086">
        <v>1019</v>
      </c>
    </row>
    <row r="1087" spans="1:1" x14ac:dyDescent="0.25">
      <c r="A1087">
        <v>90</v>
      </c>
    </row>
    <row r="1088" spans="1:1" x14ac:dyDescent="0.25">
      <c r="A1088">
        <v>144</v>
      </c>
    </row>
    <row r="1089" spans="1:1" x14ac:dyDescent="0.25">
      <c r="A1089">
        <v>137</v>
      </c>
    </row>
    <row r="1090" spans="1:1" x14ac:dyDescent="0.25">
      <c r="A1090">
        <v>1</v>
      </c>
    </row>
    <row r="1091" spans="1:1" x14ac:dyDescent="0.25">
      <c r="A1091">
        <v>105</v>
      </c>
    </row>
    <row r="1092" spans="1:1" x14ac:dyDescent="0.25">
      <c r="A1092" t="s">
        <v>974</v>
      </c>
    </row>
    <row r="1093" spans="1:1" x14ac:dyDescent="0.25">
      <c r="A1093" t="s">
        <v>261</v>
      </c>
    </row>
    <row r="1094" spans="1:1" x14ac:dyDescent="0.25">
      <c r="A1094" t="s">
        <v>845</v>
      </c>
    </row>
    <row r="1095" spans="1:1" x14ac:dyDescent="0.25">
      <c r="A1095">
        <v>1835</v>
      </c>
    </row>
    <row r="1096" spans="1:1" x14ac:dyDescent="0.25">
      <c r="A1096">
        <v>144</v>
      </c>
    </row>
    <row r="1097" spans="1:1" x14ac:dyDescent="0.25">
      <c r="A1097">
        <v>186</v>
      </c>
    </row>
    <row r="1098" spans="1:1" x14ac:dyDescent="0.25">
      <c r="A1098">
        <v>155</v>
      </c>
    </row>
    <row r="1099" spans="1:1" x14ac:dyDescent="0.25">
      <c r="A1099">
        <v>1</v>
      </c>
    </row>
    <row r="1100" spans="1:1" x14ac:dyDescent="0.25">
      <c r="A1100">
        <v>105</v>
      </c>
    </row>
    <row r="1101" spans="1:1" x14ac:dyDescent="0.25">
      <c r="A1101" t="s">
        <v>975</v>
      </c>
    </row>
    <row r="1102" spans="1:1" x14ac:dyDescent="0.25">
      <c r="A1102" t="s">
        <v>976</v>
      </c>
    </row>
    <row r="1103" spans="1:1" x14ac:dyDescent="0.25">
      <c r="A1103" t="s">
        <v>977</v>
      </c>
    </row>
    <row r="1104" spans="1:1" x14ac:dyDescent="0.25">
      <c r="A1104">
        <v>1835</v>
      </c>
    </row>
    <row r="1105" spans="1:1" x14ac:dyDescent="0.25">
      <c r="A1105">
        <v>144</v>
      </c>
    </row>
    <row r="1106" spans="1:1" x14ac:dyDescent="0.25">
      <c r="A1106">
        <v>186</v>
      </c>
    </row>
    <row r="1107" spans="1:1" x14ac:dyDescent="0.25">
      <c r="A1107">
        <v>155</v>
      </c>
    </row>
    <row r="1108" spans="1:1" x14ac:dyDescent="0.25">
      <c r="A1108">
        <v>1</v>
      </c>
    </row>
    <row r="1109" spans="1:1" x14ac:dyDescent="0.25">
      <c r="A1109">
        <v>106</v>
      </c>
    </row>
    <row r="1110" spans="1:1" x14ac:dyDescent="0.25">
      <c r="A1110" t="s">
        <v>978</v>
      </c>
    </row>
    <row r="1111" spans="1:1" x14ac:dyDescent="0.25">
      <c r="A1111" t="s">
        <v>488</v>
      </c>
    </row>
    <row r="1112" spans="1:1" x14ac:dyDescent="0.25">
      <c r="A1112" t="s">
        <v>901</v>
      </c>
    </row>
    <row r="1113" spans="1:1" x14ac:dyDescent="0.25">
      <c r="A1113">
        <v>2576</v>
      </c>
    </row>
    <row r="1114" spans="1:1" x14ac:dyDescent="0.25">
      <c r="A1114">
        <v>224</v>
      </c>
    </row>
    <row r="1115" spans="1:1" x14ac:dyDescent="0.25">
      <c r="A1115">
        <v>181</v>
      </c>
    </row>
    <row r="1116" spans="1:1" x14ac:dyDescent="0.25">
      <c r="A1116">
        <v>137</v>
      </c>
    </row>
    <row r="1117" spans="1:1" x14ac:dyDescent="0.25">
      <c r="A1117">
        <v>1</v>
      </c>
    </row>
    <row r="1118" spans="1:1" x14ac:dyDescent="0.25">
      <c r="A1118">
        <v>107</v>
      </c>
    </row>
    <row r="1119" spans="1:1" x14ac:dyDescent="0.25">
      <c r="A1119" t="s">
        <v>979</v>
      </c>
    </row>
    <row r="1120" spans="1:1" x14ac:dyDescent="0.25">
      <c r="A1120" t="s">
        <v>489</v>
      </c>
    </row>
    <row r="1121" spans="1:1" x14ac:dyDescent="0.25">
      <c r="A1121" t="s">
        <v>901</v>
      </c>
    </row>
    <row r="1122" spans="1:1" x14ac:dyDescent="0.25">
      <c r="A1122">
        <v>2332</v>
      </c>
    </row>
    <row r="1123" spans="1:1" x14ac:dyDescent="0.25">
      <c r="A1123">
        <v>193</v>
      </c>
    </row>
    <row r="1124" spans="1:1" x14ac:dyDescent="0.25">
      <c r="A1124">
        <v>197</v>
      </c>
    </row>
    <row r="1125" spans="1:1" x14ac:dyDescent="0.25">
      <c r="A1125">
        <v>137</v>
      </c>
    </row>
    <row r="1126" spans="1:1" x14ac:dyDescent="0.25">
      <c r="A1126">
        <v>1</v>
      </c>
    </row>
    <row r="1127" spans="1:1" x14ac:dyDescent="0.25">
      <c r="A1127">
        <v>108</v>
      </c>
    </row>
    <row r="1128" spans="1:1" x14ac:dyDescent="0.25">
      <c r="A1128" t="s">
        <v>980</v>
      </c>
    </row>
    <row r="1129" spans="1:1" x14ac:dyDescent="0.25">
      <c r="A1129" t="s">
        <v>262</v>
      </c>
    </row>
    <row r="1130" spans="1:1" x14ac:dyDescent="0.25">
      <c r="A1130" t="s">
        <v>826</v>
      </c>
    </row>
    <row r="1131" spans="1:1" x14ac:dyDescent="0.25">
      <c r="A1131">
        <v>1411</v>
      </c>
    </row>
    <row r="1132" spans="1:1" x14ac:dyDescent="0.25">
      <c r="A1132">
        <v>108</v>
      </c>
    </row>
    <row r="1133" spans="1:1" x14ac:dyDescent="0.25">
      <c r="A1133">
        <v>137</v>
      </c>
    </row>
    <row r="1134" spans="1:1" x14ac:dyDescent="0.25">
      <c r="A1134">
        <v>207</v>
      </c>
    </row>
    <row r="1135" spans="1:1" x14ac:dyDescent="0.25">
      <c r="A1135">
        <v>1</v>
      </c>
    </row>
    <row r="1136" spans="1:1" x14ac:dyDescent="0.25">
      <c r="A1136">
        <v>109</v>
      </c>
    </row>
    <row r="1137" spans="1:1" x14ac:dyDescent="0.25">
      <c r="A1137" t="s">
        <v>981</v>
      </c>
    </row>
    <row r="1138" spans="1:1" x14ac:dyDescent="0.25">
      <c r="A1138" t="s">
        <v>263</v>
      </c>
    </row>
    <row r="1139" spans="1:1" x14ac:dyDescent="0.25">
      <c r="A1139" t="s">
        <v>836</v>
      </c>
    </row>
    <row r="1140" spans="1:1" x14ac:dyDescent="0.25">
      <c r="A1140">
        <v>1214</v>
      </c>
    </row>
    <row r="1141" spans="1:1" x14ac:dyDescent="0.25">
      <c r="A1141">
        <v>119</v>
      </c>
    </row>
    <row r="1142" spans="1:1" x14ac:dyDescent="0.25">
      <c r="A1142">
        <v>141</v>
      </c>
    </row>
    <row r="1143" spans="1:1" x14ac:dyDescent="0.25">
      <c r="A1143">
        <v>120</v>
      </c>
    </row>
    <row r="1144" spans="1:1" x14ac:dyDescent="0.25">
      <c r="A1144">
        <v>1</v>
      </c>
    </row>
    <row r="1145" spans="1:1" x14ac:dyDescent="0.25">
      <c r="A1145">
        <v>110</v>
      </c>
    </row>
    <row r="1146" spans="1:1" x14ac:dyDescent="0.25">
      <c r="A1146" t="s">
        <v>982</v>
      </c>
    </row>
    <row r="1147" spans="1:1" x14ac:dyDescent="0.25">
      <c r="A1147" t="s">
        <v>264</v>
      </c>
    </row>
    <row r="1148" spans="1:1" x14ac:dyDescent="0.25">
      <c r="A1148" t="s">
        <v>836</v>
      </c>
    </row>
    <row r="1149" spans="1:1" x14ac:dyDescent="0.25">
      <c r="A1149">
        <v>2293</v>
      </c>
    </row>
    <row r="1150" spans="1:1" x14ac:dyDescent="0.25">
      <c r="A1150">
        <v>174</v>
      </c>
    </row>
    <row r="1151" spans="1:1" x14ac:dyDescent="0.25">
      <c r="A1151">
        <v>197</v>
      </c>
    </row>
    <row r="1152" spans="1:1" x14ac:dyDescent="0.25">
      <c r="A1152">
        <v>163</v>
      </c>
    </row>
    <row r="1153" spans="1:1" x14ac:dyDescent="0.25">
      <c r="A1153">
        <v>1</v>
      </c>
    </row>
    <row r="1154" spans="1:1" x14ac:dyDescent="0.25">
      <c r="A1154">
        <v>111</v>
      </c>
    </row>
    <row r="1155" spans="1:1" x14ac:dyDescent="0.25">
      <c r="A1155" t="s">
        <v>983</v>
      </c>
    </row>
    <row r="1156" spans="1:1" x14ac:dyDescent="0.25">
      <c r="A1156" t="s">
        <v>265</v>
      </c>
    </row>
    <row r="1157" spans="1:1" x14ac:dyDescent="0.25">
      <c r="A1157" t="s">
        <v>984</v>
      </c>
    </row>
    <row r="1158" spans="1:1" x14ac:dyDescent="0.25">
      <c r="A1158">
        <v>1651</v>
      </c>
    </row>
    <row r="1159" spans="1:1" x14ac:dyDescent="0.25">
      <c r="A1159">
        <v>140</v>
      </c>
    </row>
    <row r="1160" spans="1:1" x14ac:dyDescent="0.25">
      <c r="A1160">
        <v>127</v>
      </c>
    </row>
    <row r="1161" spans="1:1" x14ac:dyDescent="0.25">
      <c r="A1161">
        <v>190</v>
      </c>
    </row>
    <row r="1162" spans="1:1" x14ac:dyDescent="0.25">
      <c r="A1162">
        <v>1</v>
      </c>
    </row>
    <row r="1163" spans="1:1" x14ac:dyDescent="0.25">
      <c r="A1163">
        <v>112</v>
      </c>
    </row>
    <row r="1164" spans="1:1" x14ac:dyDescent="0.25">
      <c r="A1164" t="s">
        <v>985</v>
      </c>
    </row>
    <row r="1165" spans="1:1" x14ac:dyDescent="0.25">
      <c r="A1165" t="s">
        <v>266</v>
      </c>
    </row>
    <row r="1166" spans="1:1" x14ac:dyDescent="0.25">
      <c r="A1166" t="s">
        <v>984</v>
      </c>
    </row>
    <row r="1167" spans="1:1" x14ac:dyDescent="0.25">
      <c r="A1167">
        <v>3179</v>
      </c>
    </row>
    <row r="1168" spans="1:1" x14ac:dyDescent="0.25">
      <c r="A1168">
        <v>222</v>
      </c>
    </row>
    <row r="1169" spans="1:1" x14ac:dyDescent="0.25">
      <c r="A1169">
        <v>171</v>
      </c>
    </row>
    <row r="1170" spans="1:1" x14ac:dyDescent="0.25">
      <c r="A1170">
        <v>233</v>
      </c>
    </row>
    <row r="1171" spans="1:1" x14ac:dyDescent="0.25">
      <c r="A1171">
        <v>1</v>
      </c>
    </row>
    <row r="1172" spans="1:1" x14ac:dyDescent="0.25">
      <c r="A1172">
        <v>113</v>
      </c>
    </row>
    <row r="1173" spans="1:1" x14ac:dyDescent="0.25">
      <c r="A1173" t="s">
        <v>986</v>
      </c>
    </row>
    <row r="1174" spans="1:1" x14ac:dyDescent="0.25">
      <c r="A1174" t="s">
        <v>490</v>
      </c>
    </row>
    <row r="1175" spans="1:1" x14ac:dyDescent="0.25">
      <c r="A1175" t="s">
        <v>826</v>
      </c>
    </row>
    <row r="1176" spans="1:1" x14ac:dyDescent="0.25">
      <c r="A1176">
        <v>1255</v>
      </c>
    </row>
    <row r="1177" spans="1:1" x14ac:dyDescent="0.25">
      <c r="A1177">
        <v>60</v>
      </c>
    </row>
    <row r="1178" spans="1:1" x14ac:dyDescent="0.25">
      <c r="A1178">
        <v>128</v>
      </c>
    </row>
    <row r="1179" spans="1:1" x14ac:dyDescent="0.25">
      <c r="A1179">
        <v>487</v>
      </c>
    </row>
    <row r="1180" spans="1:1" x14ac:dyDescent="0.25">
      <c r="A1180">
        <v>1</v>
      </c>
    </row>
    <row r="1181" spans="1:1" x14ac:dyDescent="0.25">
      <c r="A1181">
        <v>114</v>
      </c>
    </row>
    <row r="1182" spans="1:1" x14ac:dyDescent="0.25">
      <c r="A1182" t="s">
        <v>987</v>
      </c>
    </row>
    <row r="1183" spans="1:1" x14ac:dyDescent="0.25">
      <c r="A1183" t="s">
        <v>267</v>
      </c>
    </row>
    <row r="1184" spans="1:1" x14ac:dyDescent="0.25">
      <c r="A1184" t="s">
        <v>988</v>
      </c>
    </row>
    <row r="1185" spans="1:1" x14ac:dyDescent="0.25">
      <c r="A1185">
        <v>2238</v>
      </c>
    </row>
    <row r="1186" spans="1:1" x14ac:dyDescent="0.25">
      <c r="A1186">
        <v>183</v>
      </c>
    </row>
    <row r="1187" spans="1:1" x14ac:dyDescent="0.25">
      <c r="A1187">
        <v>169</v>
      </c>
    </row>
    <row r="1188" spans="1:1" x14ac:dyDescent="0.25">
      <c r="A1188">
        <v>163</v>
      </c>
    </row>
    <row r="1189" spans="1:1" x14ac:dyDescent="0.25">
      <c r="A1189">
        <v>1</v>
      </c>
    </row>
    <row r="1190" spans="1:1" x14ac:dyDescent="0.25">
      <c r="A1190">
        <v>115</v>
      </c>
    </row>
    <row r="1191" spans="1:1" x14ac:dyDescent="0.25">
      <c r="A1191" t="s">
        <v>989</v>
      </c>
    </row>
    <row r="1192" spans="1:1" x14ac:dyDescent="0.25">
      <c r="A1192" t="s">
        <v>268</v>
      </c>
    </row>
    <row r="1193" spans="1:1" x14ac:dyDescent="0.25">
      <c r="A1193" t="s">
        <v>826</v>
      </c>
    </row>
    <row r="1194" spans="1:1" x14ac:dyDescent="0.25">
      <c r="A1194">
        <v>2586</v>
      </c>
    </row>
    <row r="1195" spans="1:1" x14ac:dyDescent="0.25">
      <c r="A1195">
        <v>181</v>
      </c>
    </row>
    <row r="1196" spans="1:1" x14ac:dyDescent="0.25">
      <c r="A1196">
        <v>165</v>
      </c>
    </row>
    <row r="1197" spans="1:1" x14ac:dyDescent="0.25">
      <c r="A1197">
        <v>233</v>
      </c>
    </row>
    <row r="1198" spans="1:1" x14ac:dyDescent="0.25">
      <c r="A1198">
        <v>1</v>
      </c>
    </row>
    <row r="1199" spans="1:1" x14ac:dyDescent="0.25">
      <c r="A1199">
        <v>116</v>
      </c>
    </row>
    <row r="1200" spans="1:1" x14ac:dyDescent="0.25">
      <c r="A1200" t="s">
        <v>990</v>
      </c>
    </row>
    <row r="1201" spans="1:1" x14ac:dyDescent="0.25">
      <c r="A1201" t="s">
        <v>269</v>
      </c>
    </row>
    <row r="1202" spans="1:1" x14ac:dyDescent="0.25">
      <c r="A1202" t="s">
        <v>809</v>
      </c>
    </row>
    <row r="1203" spans="1:1" x14ac:dyDescent="0.25">
      <c r="A1203">
        <v>1056</v>
      </c>
    </row>
    <row r="1204" spans="1:1" x14ac:dyDescent="0.25">
      <c r="A1204">
        <v>129</v>
      </c>
    </row>
    <row r="1205" spans="1:1" x14ac:dyDescent="0.25">
      <c r="A1205">
        <v>103</v>
      </c>
    </row>
    <row r="1206" spans="1:1" x14ac:dyDescent="0.25">
      <c r="A1206">
        <v>102</v>
      </c>
    </row>
    <row r="1207" spans="1:1" x14ac:dyDescent="0.25">
      <c r="A1207">
        <v>1</v>
      </c>
    </row>
    <row r="1208" spans="1:1" x14ac:dyDescent="0.25">
      <c r="A1208">
        <v>117</v>
      </c>
    </row>
    <row r="1209" spans="1:1" x14ac:dyDescent="0.25">
      <c r="A1209" t="s">
        <v>991</v>
      </c>
    </row>
    <row r="1210" spans="1:1" x14ac:dyDescent="0.25">
      <c r="A1210" t="s">
        <v>270</v>
      </c>
    </row>
    <row r="1211" spans="1:1" x14ac:dyDescent="0.25">
      <c r="A1211" t="s">
        <v>809</v>
      </c>
    </row>
    <row r="1212" spans="1:1" x14ac:dyDescent="0.25">
      <c r="A1212">
        <v>2093</v>
      </c>
    </row>
    <row r="1213" spans="1:1" x14ac:dyDescent="0.25">
      <c r="A1213">
        <v>187</v>
      </c>
    </row>
    <row r="1214" spans="1:1" x14ac:dyDescent="0.25">
      <c r="A1214">
        <v>156</v>
      </c>
    </row>
    <row r="1215" spans="1:1" x14ac:dyDescent="0.25">
      <c r="A1215">
        <v>146</v>
      </c>
    </row>
    <row r="1216" spans="1:1" x14ac:dyDescent="0.25">
      <c r="A1216">
        <v>1</v>
      </c>
    </row>
    <row r="1217" spans="1:1" x14ac:dyDescent="0.25">
      <c r="A1217">
        <v>118</v>
      </c>
    </row>
    <row r="1218" spans="1:1" x14ac:dyDescent="0.25">
      <c r="A1218" t="s">
        <v>992</v>
      </c>
    </row>
    <row r="1219" spans="1:1" x14ac:dyDescent="0.25">
      <c r="A1219" t="s">
        <v>271</v>
      </c>
    </row>
    <row r="1220" spans="1:1" x14ac:dyDescent="0.25">
      <c r="A1220" t="s">
        <v>809</v>
      </c>
    </row>
    <row r="1221" spans="1:1" x14ac:dyDescent="0.25">
      <c r="A1221">
        <v>1152</v>
      </c>
    </row>
    <row r="1222" spans="1:1" x14ac:dyDescent="0.25">
      <c r="A1222">
        <v>123</v>
      </c>
    </row>
    <row r="1223" spans="1:1" x14ac:dyDescent="0.25">
      <c r="A1223">
        <v>110</v>
      </c>
    </row>
    <row r="1224" spans="1:1" x14ac:dyDescent="0.25">
      <c r="A1224">
        <v>128</v>
      </c>
    </row>
    <row r="1225" spans="1:1" x14ac:dyDescent="0.25">
      <c r="A1225">
        <v>1</v>
      </c>
    </row>
    <row r="1226" spans="1:1" x14ac:dyDescent="0.25">
      <c r="A1226">
        <v>119</v>
      </c>
    </row>
    <row r="1227" spans="1:1" x14ac:dyDescent="0.25">
      <c r="A1227" t="s">
        <v>993</v>
      </c>
    </row>
    <row r="1228" spans="1:1" x14ac:dyDescent="0.25">
      <c r="A1228" t="s">
        <v>272</v>
      </c>
    </row>
    <row r="1229" spans="1:1" x14ac:dyDescent="0.25">
      <c r="A1229" t="s">
        <v>809</v>
      </c>
    </row>
    <row r="1230" spans="1:1" x14ac:dyDescent="0.25">
      <c r="A1230">
        <v>2162</v>
      </c>
    </row>
    <row r="1231" spans="1:1" x14ac:dyDescent="0.25">
      <c r="A1231">
        <v>175</v>
      </c>
    </row>
    <row r="1232" spans="1:1" x14ac:dyDescent="0.25">
      <c r="A1232">
        <v>147</v>
      </c>
    </row>
    <row r="1233" spans="1:1" x14ac:dyDescent="0.25">
      <c r="A1233">
        <v>190</v>
      </c>
    </row>
    <row r="1234" spans="1:1" x14ac:dyDescent="0.25">
      <c r="A1234">
        <v>1</v>
      </c>
    </row>
    <row r="1235" spans="1:1" x14ac:dyDescent="0.25">
      <c r="A1235">
        <v>120</v>
      </c>
    </row>
    <row r="1236" spans="1:1" x14ac:dyDescent="0.25">
      <c r="A1236" t="s">
        <v>994</v>
      </c>
    </row>
    <row r="1237" spans="1:1" x14ac:dyDescent="0.25">
      <c r="A1237" t="s">
        <v>273</v>
      </c>
    </row>
    <row r="1238" spans="1:1" x14ac:dyDescent="0.25">
      <c r="A1238" t="s">
        <v>809</v>
      </c>
    </row>
    <row r="1239" spans="1:1" x14ac:dyDescent="0.25">
      <c r="A1239">
        <v>1157</v>
      </c>
    </row>
    <row r="1240" spans="1:1" x14ac:dyDescent="0.25">
      <c r="A1240">
        <v>137</v>
      </c>
    </row>
    <row r="1241" spans="1:1" x14ac:dyDescent="0.25">
      <c r="A1241">
        <v>112</v>
      </c>
    </row>
    <row r="1242" spans="1:1" x14ac:dyDescent="0.25">
      <c r="A1242">
        <v>102</v>
      </c>
    </row>
    <row r="1243" spans="1:1" x14ac:dyDescent="0.25">
      <c r="A1243">
        <v>1</v>
      </c>
    </row>
    <row r="1244" spans="1:1" x14ac:dyDescent="0.25">
      <c r="A1244">
        <v>121</v>
      </c>
    </row>
    <row r="1245" spans="1:1" x14ac:dyDescent="0.25">
      <c r="A1245" t="s">
        <v>995</v>
      </c>
    </row>
    <row r="1246" spans="1:1" x14ac:dyDescent="0.25">
      <c r="A1246" t="s">
        <v>274</v>
      </c>
    </row>
    <row r="1247" spans="1:1" x14ac:dyDescent="0.25">
      <c r="A1247" t="s">
        <v>936</v>
      </c>
    </row>
    <row r="1248" spans="1:1" x14ac:dyDescent="0.25">
      <c r="A1248">
        <v>2584</v>
      </c>
    </row>
    <row r="1249" spans="1:1" x14ac:dyDescent="0.25">
      <c r="A1249">
        <v>210</v>
      </c>
    </row>
    <row r="1250" spans="1:1" x14ac:dyDescent="0.25">
      <c r="A1250">
        <v>184</v>
      </c>
    </row>
    <row r="1251" spans="1:1" x14ac:dyDescent="0.25">
      <c r="A1251">
        <v>155</v>
      </c>
    </row>
    <row r="1252" spans="1:1" x14ac:dyDescent="0.25">
      <c r="A1252">
        <v>1</v>
      </c>
    </row>
    <row r="1253" spans="1:1" x14ac:dyDescent="0.25">
      <c r="A1253">
        <v>122</v>
      </c>
    </row>
    <row r="1254" spans="1:1" x14ac:dyDescent="0.25">
      <c r="A1254" t="s">
        <v>996</v>
      </c>
    </row>
    <row r="1255" spans="1:1" x14ac:dyDescent="0.25">
      <c r="A1255" t="s">
        <v>491</v>
      </c>
    </row>
    <row r="1256" spans="1:1" x14ac:dyDescent="0.25">
      <c r="A1256" t="s">
        <v>997</v>
      </c>
    </row>
    <row r="1257" spans="1:1" x14ac:dyDescent="0.25">
      <c r="A1257">
        <v>2228</v>
      </c>
    </row>
    <row r="1258" spans="1:1" x14ac:dyDescent="0.25">
      <c r="A1258">
        <v>192</v>
      </c>
    </row>
    <row r="1259" spans="1:1" x14ac:dyDescent="0.25">
      <c r="A1259">
        <v>205</v>
      </c>
    </row>
    <row r="1260" spans="1:1" x14ac:dyDescent="0.25">
      <c r="A1260">
        <v>120</v>
      </c>
    </row>
    <row r="1261" spans="1:1" x14ac:dyDescent="0.25">
      <c r="A1261">
        <v>1</v>
      </c>
    </row>
    <row r="1262" spans="1:1" x14ac:dyDescent="0.25">
      <c r="A1262">
        <v>123</v>
      </c>
    </row>
    <row r="1263" spans="1:1" x14ac:dyDescent="0.25">
      <c r="A1263" t="s">
        <v>998</v>
      </c>
    </row>
    <row r="1264" spans="1:1" x14ac:dyDescent="0.25">
      <c r="A1264" t="s">
        <v>492</v>
      </c>
    </row>
    <row r="1265" spans="1:1" x14ac:dyDescent="0.25">
      <c r="A1265" t="s">
        <v>816</v>
      </c>
    </row>
    <row r="1266" spans="1:1" x14ac:dyDescent="0.25">
      <c r="A1266">
        <v>2706</v>
      </c>
    </row>
    <row r="1267" spans="1:1" x14ac:dyDescent="0.25">
      <c r="A1267">
        <v>218</v>
      </c>
    </row>
    <row r="1268" spans="1:1" x14ac:dyDescent="0.25">
      <c r="A1268">
        <v>170</v>
      </c>
    </row>
    <row r="1269" spans="1:1" x14ac:dyDescent="0.25">
      <c r="A1269">
        <v>172</v>
      </c>
    </row>
    <row r="1270" spans="1:1" x14ac:dyDescent="0.25">
      <c r="A1270">
        <v>1</v>
      </c>
    </row>
    <row r="1271" spans="1:1" x14ac:dyDescent="0.25">
      <c r="A1271">
        <v>124</v>
      </c>
    </row>
    <row r="1272" spans="1:1" x14ac:dyDescent="0.25">
      <c r="A1272" t="s">
        <v>999</v>
      </c>
    </row>
    <row r="1273" spans="1:1" x14ac:dyDescent="0.25">
      <c r="A1273" t="s">
        <v>493</v>
      </c>
    </row>
    <row r="1274" spans="1:1" x14ac:dyDescent="0.25">
      <c r="A1274" t="s">
        <v>1000</v>
      </c>
    </row>
    <row r="1275" spans="1:1" x14ac:dyDescent="0.25">
      <c r="A1275">
        <v>2555</v>
      </c>
    </row>
    <row r="1276" spans="1:1" x14ac:dyDescent="0.25">
      <c r="A1276">
        <v>223</v>
      </c>
    </row>
    <row r="1277" spans="1:1" x14ac:dyDescent="0.25">
      <c r="A1277">
        <v>151</v>
      </c>
    </row>
    <row r="1278" spans="1:1" x14ac:dyDescent="0.25">
      <c r="A1278">
        <v>163</v>
      </c>
    </row>
    <row r="1279" spans="1:1" x14ac:dyDescent="0.25">
      <c r="A1279">
        <v>1</v>
      </c>
    </row>
    <row r="1280" spans="1:1" x14ac:dyDescent="0.25">
      <c r="A1280">
        <v>125</v>
      </c>
    </row>
    <row r="1281" spans="1:1" x14ac:dyDescent="0.25">
      <c r="A1281" t="s">
        <v>1001</v>
      </c>
    </row>
    <row r="1282" spans="1:1" x14ac:dyDescent="0.25">
      <c r="A1282" t="s">
        <v>494</v>
      </c>
    </row>
    <row r="1283" spans="1:1" x14ac:dyDescent="0.25">
      <c r="A1283" t="s">
        <v>839</v>
      </c>
    </row>
    <row r="1284" spans="1:1" x14ac:dyDescent="0.25">
      <c r="A1284">
        <v>2334</v>
      </c>
    </row>
    <row r="1285" spans="1:1" x14ac:dyDescent="0.25">
      <c r="A1285">
        <v>198</v>
      </c>
    </row>
    <row r="1286" spans="1:1" x14ac:dyDescent="0.25">
      <c r="A1286">
        <v>158</v>
      </c>
    </row>
    <row r="1287" spans="1:1" x14ac:dyDescent="0.25">
      <c r="A1287">
        <v>163</v>
      </c>
    </row>
    <row r="1288" spans="1:1" x14ac:dyDescent="0.25">
      <c r="A1288">
        <v>1</v>
      </c>
    </row>
    <row r="1289" spans="1:1" x14ac:dyDescent="0.25">
      <c r="A1289">
        <v>126</v>
      </c>
    </row>
    <row r="1290" spans="1:1" x14ac:dyDescent="0.25">
      <c r="A1290" t="s">
        <v>1002</v>
      </c>
    </row>
    <row r="1291" spans="1:1" x14ac:dyDescent="0.25">
      <c r="A1291" t="s">
        <v>495</v>
      </c>
    </row>
    <row r="1292" spans="1:1" x14ac:dyDescent="0.25">
      <c r="A1292" t="s">
        <v>804</v>
      </c>
    </row>
    <row r="1293" spans="1:1" x14ac:dyDescent="0.25">
      <c r="A1293">
        <v>2394</v>
      </c>
    </row>
    <row r="1294" spans="1:1" x14ac:dyDescent="0.25">
      <c r="A1294">
        <v>206</v>
      </c>
    </row>
    <row r="1295" spans="1:1" x14ac:dyDescent="0.25">
      <c r="A1295">
        <v>154</v>
      </c>
    </row>
    <row r="1296" spans="1:1" x14ac:dyDescent="0.25">
      <c r="A1296">
        <v>163</v>
      </c>
    </row>
    <row r="1297" spans="1:1" x14ac:dyDescent="0.25">
      <c r="A1297">
        <v>1</v>
      </c>
    </row>
    <row r="1298" spans="1:1" x14ac:dyDescent="0.25">
      <c r="A1298">
        <v>127</v>
      </c>
    </row>
    <row r="1299" spans="1:1" x14ac:dyDescent="0.25">
      <c r="A1299" t="s">
        <v>1003</v>
      </c>
    </row>
    <row r="1300" spans="1:1" x14ac:dyDescent="0.25">
      <c r="A1300" t="s">
        <v>496</v>
      </c>
    </row>
    <row r="1301" spans="1:1" x14ac:dyDescent="0.25">
      <c r="A1301" t="s">
        <v>813</v>
      </c>
    </row>
    <row r="1302" spans="1:1" x14ac:dyDescent="0.25">
      <c r="A1302">
        <v>2959</v>
      </c>
    </row>
    <row r="1303" spans="1:1" x14ac:dyDescent="0.25">
      <c r="A1303">
        <v>238</v>
      </c>
    </row>
    <row r="1304" spans="1:1" x14ac:dyDescent="0.25">
      <c r="A1304">
        <v>182</v>
      </c>
    </row>
    <row r="1305" spans="1:1" x14ac:dyDescent="0.25">
      <c r="A1305">
        <v>163</v>
      </c>
    </row>
    <row r="1306" spans="1:1" x14ac:dyDescent="0.25">
      <c r="A1306">
        <v>1</v>
      </c>
    </row>
    <row r="1307" spans="1:1" x14ac:dyDescent="0.25">
      <c r="A1307">
        <v>128</v>
      </c>
    </row>
    <row r="1308" spans="1:1" x14ac:dyDescent="0.25">
      <c r="A1308" t="s">
        <v>1004</v>
      </c>
    </row>
    <row r="1309" spans="1:1" x14ac:dyDescent="0.25">
      <c r="A1309" t="s">
        <v>275</v>
      </c>
    </row>
    <row r="1310" spans="1:1" x14ac:dyDescent="0.25">
      <c r="A1310" t="s">
        <v>826</v>
      </c>
    </row>
    <row r="1311" spans="1:1" x14ac:dyDescent="0.25">
      <c r="A1311">
        <v>2620</v>
      </c>
    </row>
    <row r="1312" spans="1:1" x14ac:dyDescent="0.25">
      <c r="A1312">
        <v>198</v>
      </c>
    </row>
    <row r="1313" spans="1:1" x14ac:dyDescent="0.25">
      <c r="A1313">
        <v>183</v>
      </c>
    </row>
    <row r="1314" spans="1:1" x14ac:dyDescent="0.25">
      <c r="A1314">
        <v>181</v>
      </c>
    </row>
    <row r="1315" spans="1:1" x14ac:dyDescent="0.25">
      <c r="A1315">
        <v>1</v>
      </c>
    </row>
    <row r="1316" spans="1:1" x14ac:dyDescent="0.25">
      <c r="A1316">
        <v>129</v>
      </c>
    </row>
    <row r="1317" spans="1:1" x14ac:dyDescent="0.25">
      <c r="A1317" t="s">
        <v>1005</v>
      </c>
    </row>
    <row r="1318" spans="1:1" x14ac:dyDescent="0.25">
      <c r="A1318" t="s">
        <v>114</v>
      </c>
    </row>
    <row r="1319" spans="1:1" x14ac:dyDescent="0.25">
      <c r="A1319" t="s">
        <v>809</v>
      </c>
    </row>
    <row r="1320" spans="1:1" x14ac:dyDescent="0.25">
      <c r="A1320">
        <v>274</v>
      </c>
    </row>
    <row r="1321" spans="1:1" x14ac:dyDescent="0.25">
      <c r="A1321">
        <v>29</v>
      </c>
    </row>
    <row r="1322" spans="1:1" x14ac:dyDescent="0.25">
      <c r="A1322">
        <v>85</v>
      </c>
    </row>
    <row r="1323" spans="1:1" x14ac:dyDescent="0.25">
      <c r="A1323">
        <v>85</v>
      </c>
    </row>
    <row r="1324" spans="1:1" x14ac:dyDescent="0.25">
      <c r="A1324">
        <v>1</v>
      </c>
    </row>
    <row r="1325" spans="1:1" x14ac:dyDescent="0.25">
      <c r="A1325">
        <v>130</v>
      </c>
    </row>
    <row r="1326" spans="1:1" x14ac:dyDescent="0.25">
      <c r="A1326" t="s">
        <v>1006</v>
      </c>
    </row>
    <row r="1327" spans="1:1" x14ac:dyDescent="0.25">
      <c r="A1327" t="s">
        <v>115</v>
      </c>
    </row>
    <row r="1328" spans="1:1" x14ac:dyDescent="0.25">
      <c r="A1328" t="s">
        <v>1007</v>
      </c>
    </row>
    <row r="1329" spans="1:1" x14ac:dyDescent="0.25">
      <c r="A1329">
        <v>3391</v>
      </c>
    </row>
    <row r="1330" spans="1:1" x14ac:dyDescent="0.25">
      <c r="A1330">
        <v>237</v>
      </c>
    </row>
    <row r="1331" spans="1:1" x14ac:dyDescent="0.25">
      <c r="A1331">
        <v>186</v>
      </c>
    </row>
    <row r="1332" spans="1:1" x14ac:dyDescent="0.25">
      <c r="A1332">
        <v>216</v>
      </c>
    </row>
    <row r="1333" spans="1:1" x14ac:dyDescent="0.25">
      <c r="A1333">
        <v>1</v>
      </c>
    </row>
    <row r="1334" spans="1:1" x14ac:dyDescent="0.25">
      <c r="A1334">
        <v>131</v>
      </c>
    </row>
    <row r="1335" spans="1:1" x14ac:dyDescent="0.25">
      <c r="A1335" t="s">
        <v>1008</v>
      </c>
    </row>
    <row r="1336" spans="1:1" x14ac:dyDescent="0.25">
      <c r="A1336" t="s">
        <v>497</v>
      </c>
    </row>
    <row r="1337" spans="1:1" x14ac:dyDescent="0.25">
      <c r="A1337" t="s">
        <v>946</v>
      </c>
    </row>
    <row r="1338" spans="1:1" x14ac:dyDescent="0.25">
      <c r="A1338">
        <v>2641</v>
      </c>
    </row>
    <row r="1339" spans="1:1" x14ac:dyDescent="0.25">
      <c r="A1339">
        <v>165</v>
      </c>
    </row>
    <row r="1340" spans="1:1" x14ac:dyDescent="0.25">
      <c r="A1340">
        <v>174</v>
      </c>
    </row>
    <row r="1341" spans="1:1" x14ac:dyDescent="0.25">
      <c r="A1341">
        <v>277</v>
      </c>
    </row>
    <row r="1342" spans="1:1" x14ac:dyDescent="0.25">
      <c r="A1342">
        <v>1</v>
      </c>
    </row>
    <row r="1343" spans="1:1" x14ac:dyDescent="0.25">
      <c r="A1343">
        <v>132</v>
      </c>
    </row>
    <row r="1344" spans="1:1" x14ac:dyDescent="0.25">
      <c r="A1344" t="s">
        <v>1009</v>
      </c>
    </row>
    <row r="1345" spans="1:1" x14ac:dyDescent="0.25">
      <c r="A1345" t="s">
        <v>1010</v>
      </c>
    </row>
    <row r="1346" spans="1:1" x14ac:dyDescent="0.25">
      <c r="A1346" t="s">
        <v>826</v>
      </c>
    </row>
    <row r="1347" spans="1:1" x14ac:dyDescent="0.25">
      <c r="A1347">
        <v>832</v>
      </c>
    </row>
    <row r="1348" spans="1:1" x14ac:dyDescent="0.25">
      <c r="A1348">
        <v>91</v>
      </c>
    </row>
    <row r="1349" spans="1:1" x14ac:dyDescent="0.25">
      <c r="A1349">
        <v>91</v>
      </c>
    </row>
    <row r="1350" spans="1:1" x14ac:dyDescent="0.25">
      <c r="A1350">
        <v>134</v>
      </c>
    </row>
    <row r="1351" spans="1:1" x14ac:dyDescent="0.25">
      <c r="A1351">
        <v>1</v>
      </c>
    </row>
    <row r="1352" spans="1:1" x14ac:dyDescent="0.25">
      <c r="A1352">
        <v>133</v>
      </c>
    </row>
    <row r="1353" spans="1:1" x14ac:dyDescent="0.25">
      <c r="A1353" t="s">
        <v>1011</v>
      </c>
    </row>
    <row r="1354" spans="1:1" x14ac:dyDescent="0.25">
      <c r="A1354" t="s">
        <v>498</v>
      </c>
    </row>
    <row r="1355" spans="1:1" x14ac:dyDescent="0.25">
      <c r="A1355" t="s">
        <v>826</v>
      </c>
    </row>
    <row r="1356" spans="1:1" x14ac:dyDescent="0.25">
      <c r="A1356">
        <v>1071</v>
      </c>
    </row>
    <row r="1357" spans="1:1" x14ac:dyDescent="0.25">
      <c r="A1357">
        <v>104</v>
      </c>
    </row>
    <row r="1358" spans="1:1" x14ac:dyDescent="0.25">
      <c r="A1358">
        <v>114</v>
      </c>
    </row>
    <row r="1359" spans="1:1" x14ac:dyDescent="0.25">
      <c r="A1359">
        <v>146</v>
      </c>
    </row>
    <row r="1360" spans="1:1" x14ac:dyDescent="0.25">
      <c r="A1360">
        <v>1</v>
      </c>
    </row>
    <row r="1361" spans="1:1" x14ac:dyDescent="0.25">
      <c r="A1361">
        <v>134</v>
      </c>
    </row>
    <row r="1362" spans="1:1" x14ac:dyDescent="0.25">
      <c r="A1362" t="s">
        <v>1012</v>
      </c>
    </row>
    <row r="1363" spans="1:1" x14ac:dyDescent="0.25">
      <c r="A1363" t="s">
        <v>499</v>
      </c>
    </row>
    <row r="1364" spans="1:1" x14ac:dyDescent="0.25">
      <c r="A1364" t="s">
        <v>809</v>
      </c>
    </row>
    <row r="1365" spans="1:1" x14ac:dyDescent="0.25">
      <c r="A1365">
        <v>3114</v>
      </c>
    </row>
    <row r="1366" spans="1:1" x14ac:dyDescent="0.25">
      <c r="A1366">
        <v>205</v>
      </c>
    </row>
    <row r="1367" spans="1:1" x14ac:dyDescent="0.25">
      <c r="A1367">
        <v>161</v>
      </c>
    </row>
    <row r="1368" spans="1:1" x14ac:dyDescent="0.25">
      <c r="A1368">
        <v>277</v>
      </c>
    </row>
    <row r="1369" spans="1:1" x14ac:dyDescent="0.25">
      <c r="A1369">
        <v>1</v>
      </c>
    </row>
    <row r="1370" spans="1:1" x14ac:dyDescent="0.25">
      <c r="A1370">
        <v>135</v>
      </c>
    </row>
    <row r="1371" spans="1:1" x14ac:dyDescent="0.25">
      <c r="A1371" t="s">
        <v>1013</v>
      </c>
    </row>
    <row r="1372" spans="1:1" x14ac:dyDescent="0.25">
      <c r="A1372" t="s">
        <v>500</v>
      </c>
    </row>
    <row r="1373" spans="1:1" x14ac:dyDescent="0.25">
      <c r="A1373" t="s">
        <v>839</v>
      </c>
    </row>
    <row r="1374" spans="1:1" x14ac:dyDescent="0.25">
      <c r="A1374">
        <v>2888</v>
      </c>
    </row>
    <row r="1375" spans="1:1" x14ac:dyDescent="0.25">
      <c r="A1375">
        <v>232</v>
      </c>
    </row>
    <row r="1376" spans="1:1" x14ac:dyDescent="0.25">
      <c r="A1376">
        <v>182</v>
      </c>
    </row>
    <row r="1377" spans="1:1" x14ac:dyDescent="0.25">
      <c r="A1377">
        <v>163</v>
      </c>
    </row>
    <row r="1378" spans="1:1" x14ac:dyDescent="0.25">
      <c r="A1378">
        <v>1</v>
      </c>
    </row>
    <row r="1379" spans="1:1" x14ac:dyDescent="0.25">
      <c r="A1379">
        <v>136</v>
      </c>
    </row>
    <row r="1380" spans="1:1" x14ac:dyDescent="0.25">
      <c r="A1380" t="s">
        <v>1014</v>
      </c>
    </row>
    <row r="1381" spans="1:1" x14ac:dyDescent="0.25">
      <c r="A1381" t="s">
        <v>501</v>
      </c>
    </row>
    <row r="1382" spans="1:1" x14ac:dyDescent="0.25">
      <c r="A1382" t="s">
        <v>804</v>
      </c>
    </row>
    <row r="1383" spans="1:1" x14ac:dyDescent="0.25">
      <c r="A1383">
        <v>3029</v>
      </c>
    </row>
    <row r="1384" spans="1:1" x14ac:dyDescent="0.25">
      <c r="A1384">
        <v>246</v>
      </c>
    </row>
    <row r="1385" spans="1:1" x14ac:dyDescent="0.25">
      <c r="A1385">
        <v>179</v>
      </c>
    </row>
    <row r="1386" spans="1:1" x14ac:dyDescent="0.25">
      <c r="A1386">
        <v>163</v>
      </c>
    </row>
    <row r="1387" spans="1:1" x14ac:dyDescent="0.25">
      <c r="A1387">
        <v>1</v>
      </c>
    </row>
    <row r="1388" spans="1:1" x14ac:dyDescent="0.25">
      <c r="A1388">
        <v>137</v>
      </c>
    </row>
    <row r="1389" spans="1:1" x14ac:dyDescent="0.25">
      <c r="A1389" t="s">
        <v>1015</v>
      </c>
    </row>
    <row r="1390" spans="1:1" x14ac:dyDescent="0.25">
      <c r="A1390" t="s">
        <v>276</v>
      </c>
    </row>
    <row r="1391" spans="1:1" x14ac:dyDescent="0.25">
      <c r="A1391" t="s">
        <v>826</v>
      </c>
    </row>
    <row r="1392" spans="1:1" x14ac:dyDescent="0.25">
      <c r="A1392">
        <v>1720</v>
      </c>
    </row>
    <row r="1393" spans="1:1" x14ac:dyDescent="0.25">
      <c r="A1393">
        <v>153</v>
      </c>
    </row>
    <row r="1394" spans="1:1" x14ac:dyDescent="0.25">
      <c r="A1394">
        <v>136</v>
      </c>
    </row>
    <row r="1395" spans="1:1" x14ac:dyDescent="0.25">
      <c r="A1395">
        <v>163</v>
      </c>
    </row>
    <row r="1396" spans="1:1" x14ac:dyDescent="0.25">
      <c r="A1396">
        <v>1</v>
      </c>
    </row>
    <row r="1397" spans="1:1" x14ac:dyDescent="0.25">
      <c r="A1397">
        <v>138</v>
      </c>
    </row>
    <row r="1398" spans="1:1" x14ac:dyDescent="0.25">
      <c r="A1398" t="s">
        <v>1016</v>
      </c>
    </row>
    <row r="1399" spans="1:1" x14ac:dyDescent="0.25">
      <c r="A1399" t="s">
        <v>502</v>
      </c>
    </row>
    <row r="1400" spans="1:1" x14ac:dyDescent="0.25">
      <c r="A1400" t="s">
        <v>1017</v>
      </c>
    </row>
    <row r="1401" spans="1:1" x14ac:dyDescent="0.25">
      <c r="A1401">
        <v>1544</v>
      </c>
    </row>
    <row r="1402" spans="1:1" x14ac:dyDescent="0.25">
      <c r="A1402">
        <v>155</v>
      </c>
    </row>
    <row r="1403" spans="1:1" x14ac:dyDescent="0.25">
      <c r="A1403">
        <v>153</v>
      </c>
    </row>
    <row r="1404" spans="1:1" x14ac:dyDescent="0.25">
      <c r="A1404">
        <v>111</v>
      </c>
    </row>
    <row r="1405" spans="1:1" x14ac:dyDescent="0.25">
      <c r="A1405">
        <v>1</v>
      </c>
    </row>
    <row r="1406" spans="1:1" x14ac:dyDescent="0.25">
      <c r="A1406">
        <v>139</v>
      </c>
    </row>
    <row r="1407" spans="1:1" x14ac:dyDescent="0.25">
      <c r="A1407" t="s">
        <v>1018</v>
      </c>
    </row>
    <row r="1408" spans="1:1" x14ac:dyDescent="0.25">
      <c r="A1408" t="s">
        <v>503</v>
      </c>
    </row>
    <row r="1409" spans="1:1" x14ac:dyDescent="0.25">
      <c r="A1409" t="s">
        <v>1017</v>
      </c>
    </row>
    <row r="1410" spans="1:1" x14ac:dyDescent="0.25">
      <c r="A1410">
        <v>2786</v>
      </c>
    </row>
    <row r="1411" spans="1:1" x14ac:dyDescent="0.25">
      <c r="A1411">
        <v>207</v>
      </c>
    </row>
    <row r="1412" spans="1:1" x14ac:dyDescent="0.25">
      <c r="A1412">
        <v>201</v>
      </c>
    </row>
    <row r="1413" spans="1:1" x14ac:dyDescent="0.25">
      <c r="A1413">
        <v>172</v>
      </c>
    </row>
    <row r="1414" spans="1:1" x14ac:dyDescent="0.25">
      <c r="A1414">
        <v>1</v>
      </c>
    </row>
    <row r="1415" spans="1:1" x14ac:dyDescent="0.25">
      <c r="A1415">
        <v>140</v>
      </c>
    </row>
    <row r="1416" spans="1:1" x14ac:dyDescent="0.25">
      <c r="A1416" t="s">
        <v>1019</v>
      </c>
    </row>
    <row r="1417" spans="1:1" x14ac:dyDescent="0.25">
      <c r="A1417" t="s">
        <v>504</v>
      </c>
    </row>
    <row r="1418" spans="1:1" x14ac:dyDescent="0.25">
      <c r="A1418" t="s">
        <v>1017</v>
      </c>
    </row>
    <row r="1419" spans="1:1" x14ac:dyDescent="0.25">
      <c r="A1419">
        <v>1370</v>
      </c>
    </row>
    <row r="1420" spans="1:1" x14ac:dyDescent="0.25">
      <c r="A1420">
        <v>148</v>
      </c>
    </row>
    <row r="1421" spans="1:1" x14ac:dyDescent="0.25">
      <c r="A1421">
        <v>140</v>
      </c>
    </row>
    <row r="1422" spans="1:1" x14ac:dyDescent="0.25">
      <c r="A1422">
        <v>102</v>
      </c>
    </row>
    <row r="1423" spans="1:1" x14ac:dyDescent="0.25">
      <c r="A1423">
        <v>1</v>
      </c>
    </row>
    <row r="1424" spans="1:1" x14ac:dyDescent="0.25">
      <c r="A1424">
        <v>141</v>
      </c>
    </row>
    <row r="1425" spans="1:1" x14ac:dyDescent="0.25">
      <c r="A1425" t="s">
        <v>1020</v>
      </c>
    </row>
    <row r="1426" spans="1:1" x14ac:dyDescent="0.25">
      <c r="A1426" t="s">
        <v>505</v>
      </c>
    </row>
    <row r="1427" spans="1:1" x14ac:dyDescent="0.25">
      <c r="A1427" t="s">
        <v>1017</v>
      </c>
    </row>
    <row r="1428" spans="1:1" x14ac:dyDescent="0.25">
      <c r="A1428">
        <v>2713</v>
      </c>
    </row>
    <row r="1429" spans="1:1" x14ac:dyDescent="0.25">
      <c r="A1429">
        <v>220</v>
      </c>
    </row>
    <row r="1430" spans="1:1" x14ac:dyDescent="0.25">
      <c r="A1430">
        <v>186</v>
      </c>
    </row>
    <row r="1431" spans="1:1" x14ac:dyDescent="0.25">
      <c r="A1431">
        <v>155</v>
      </c>
    </row>
    <row r="1432" spans="1:1" x14ac:dyDescent="0.25">
      <c r="A1432">
        <v>1</v>
      </c>
    </row>
    <row r="1433" spans="1:1" x14ac:dyDescent="0.25">
      <c r="A1433">
        <v>142</v>
      </c>
    </row>
    <row r="1434" spans="1:1" x14ac:dyDescent="0.25">
      <c r="A1434" t="s">
        <v>1021</v>
      </c>
    </row>
    <row r="1435" spans="1:1" x14ac:dyDescent="0.25">
      <c r="A1435" t="s">
        <v>506</v>
      </c>
    </row>
    <row r="1436" spans="1:1" x14ac:dyDescent="0.25">
      <c r="A1436" t="s">
        <v>1022</v>
      </c>
    </row>
    <row r="1437" spans="1:1" x14ac:dyDescent="0.25">
      <c r="A1437">
        <v>2783</v>
      </c>
    </row>
    <row r="1438" spans="1:1" x14ac:dyDescent="0.25">
      <c r="A1438">
        <v>221</v>
      </c>
    </row>
    <row r="1439" spans="1:1" x14ac:dyDescent="0.25">
      <c r="A1439">
        <v>159</v>
      </c>
    </row>
    <row r="1440" spans="1:1" x14ac:dyDescent="0.25">
      <c r="A1440">
        <v>190</v>
      </c>
    </row>
    <row r="1441" spans="1:1" x14ac:dyDescent="0.25">
      <c r="A1441">
        <v>1</v>
      </c>
    </row>
    <row r="1442" spans="1:1" x14ac:dyDescent="0.25">
      <c r="A1442">
        <v>143</v>
      </c>
    </row>
    <row r="1443" spans="1:1" x14ac:dyDescent="0.25">
      <c r="A1443" t="s">
        <v>1023</v>
      </c>
    </row>
    <row r="1444" spans="1:1" x14ac:dyDescent="0.25">
      <c r="A1444" t="s">
        <v>507</v>
      </c>
    </row>
    <row r="1445" spans="1:1" x14ac:dyDescent="0.25">
      <c r="A1445" t="s">
        <v>826</v>
      </c>
    </row>
    <row r="1446" spans="1:1" x14ac:dyDescent="0.25">
      <c r="A1446">
        <v>3225</v>
      </c>
    </row>
    <row r="1447" spans="1:1" x14ac:dyDescent="0.25">
      <c r="A1447">
        <v>190</v>
      </c>
    </row>
    <row r="1448" spans="1:1" x14ac:dyDescent="0.25">
      <c r="A1448">
        <v>169</v>
      </c>
    </row>
    <row r="1449" spans="1:1" x14ac:dyDescent="0.25">
      <c r="A1449">
        <v>330</v>
      </c>
    </row>
    <row r="1450" spans="1:1" x14ac:dyDescent="0.25">
      <c r="A1450">
        <v>1</v>
      </c>
    </row>
    <row r="1451" spans="1:1" x14ac:dyDescent="0.25">
      <c r="A1451">
        <v>144</v>
      </c>
    </row>
    <row r="1452" spans="1:1" x14ac:dyDescent="0.25">
      <c r="A1452" t="s">
        <v>1024</v>
      </c>
    </row>
    <row r="1453" spans="1:1" x14ac:dyDescent="0.25">
      <c r="A1453" t="s">
        <v>653</v>
      </c>
    </row>
    <row r="1454" spans="1:1" x14ac:dyDescent="0.25">
      <c r="A1454" t="s">
        <v>1025</v>
      </c>
    </row>
    <row r="1455" spans="1:1" x14ac:dyDescent="0.25">
      <c r="A1455">
        <v>3051</v>
      </c>
    </row>
    <row r="1456" spans="1:1" x14ac:dyDescent="0.25">
      <c r="A1456">
        <v>192</v>
      </c>
    </row>
    <row r="1457" spans="1:1" x14ac:dyDescent="0.25">
      <c r="A1457">
        <v>236</v>
      </c>
    </row>
    <row r="1458" spans="1:1" x14ac:dyDescent="0.25">
      <c r="A1458">
        <v>207</v>
      </c>
    </row>
    <row r="1459" spans="1:1" x14ac:dyDescent="0.25">
      <c r="A1459">
        <v>1</v>
      </c>
    </row>
    <row r="1460" spans="1:1" x14ac:dyDescent="0.25">
      <c r="A1460">
        <v>145</v>
      </c>
    </row>
    <row r="1461" spans="1:1" x14ac:dyDescent="0.25">
      <c r="A1461" t="s">
        <v>1026</v>
      </c>
    </row>
    <row r="1462" spans="1:1" x14ac:dyDescent="0.25">
      <c r="A1462" t="s">
        <v>654</v>
      </c>
    </row>
    <row r="1463" spans="1:1" x14ac:dyDescent="0.25">
      <c r="A1463" t="s">
        <v>1027</v>
      </c>
    </row>
    <row r="1464" spans="1:1" x14ac:dyDescent="0.25">
      <c r="A1464">
        <v>3527</v>
      </c>
    </row>
    <row r="1465" spans="1:1" x14ac:dyDescent="0.25">
      <c r="A1465">
        <v>253</v>
      </c>
    </row>
    <row r="1466" spans="1:1" x14ac:dyDescent="0.25">
      <c r="A1466">
        <v>185</v>
      </c>
    </row>
    <row r="1467" spans="1:1" x14ac:dyDescent="0.25">
      <c r="A1467">
        <v>207</v>
      </c>
    </row>
    <row r="1468" spans="1:1" x14ac:dyDescent="0.25">
      <c r="A1468">
        <v>1</v>
      </c>
    </row>
    <row r="1469" spans="1:1" x14ac:dyDescent="0.25">
      <c r="A1469">
        <v>146</v>
      </c>
    </row>
    <row r="1470" spans="1:1" x14ac:dyDescent="0.25">
      <c r="A1470" t="s">
        <v>1028</v>
      </c>
    </row>
    <row r="1471" spans="1:1" x14ac:dyDescent="0.25">
      <c r="A1471" t="s">
        <v>655</v>
      </c>
    </row>
    <row r="1472" spans="1:1" x14ac:dyDescent="0.25">
      <c r="A1472" t="s">
        <v>807</v>
      </c>
    </row>
    <row r="1473" spans="1:1" x14ac:dyDescent="0.25">
      <c r="A1473">
        <v>3465</v>
      </c>
    </row>
    <row r="1474" spans="1:1" x14ac:dyDescent="0.25">
      <c r="A1474">
        <v>251</v>
      </c>
    </row>
    <row r="1475" spans="1:1" x14ac:dyDescent="0.25">
      <c r="A1475">
        <v>181</v>
      </c>
    </row>
    <row r="1476" spans="1:1" x14ac:dyDescent="0.25">
      <c r="A1476">
        <v>207</v>
      </c>
    </row>
    <row r="1477" spans="1:1" x14ac:dyDescent="0.25">
      <c r="A1477">
        <v>1</v>
      </c>
    </row>
    <row r="1478" spans="1:1" x14ac:dyDescent="0.25">
      <c r="A1478">
        <v>147</v>
      </c>
    </row>
    <row r="1479" spans="1:1" x14ac:dyDescent="0.25">
      <c r="A1479" t="s">
        <v>1029</v>
      </c>
    </row>
    <row r="1480" spans="1:1" x14ac:dyDescent="0.25">
      <c r="A1480" t="s">
        <v>508</v>
      </c>
    </row>
    <row r="1481" spans="1:1" x14ac:dyDescent="0.25">
      <c r="A1481" t="s">
        <v>1030</v>
      </c>
    </row>
    <row r="1482" spans="1:1" x14ac:dyDescent="0.25">
      <c r="A1482">
        <v>1004</v>
      </c>
    </row>
    <row r="1483" spans="1:1" x14ac:dyDescent="0.25">
      <c r="A1483">
        <v>119</v>
      </c>
    </row>
    <row r="1484" spans="1:1" x14ac:dyDescent="0.25">
      <c r="A1484">
        <v>91</v>
      </c>
    </row>
    <row r="1485" spans="1:1" x14ac:dyDescent="0.25">
      <c r="A1485">
        <v>121</v>
      </c>
    </row>
    <row r="1486" spans="1:1" x14ac:dyDescent="0.25">
      <c r="A1486">
        <v>1</v>
      </c>
    </row>
    <row r="1487" spans="1:1" x14ac:dyDescent="0.25">
      <c r="A1487">
        <v>148</v>
      </c>
    </row>
    <row r="1488" spans="1:1" x14ac:dyDescent="0.25">
      <c r="A1488" t="s">
        <v>1031</v>
      </c>
    </row>
    <row r="1489" spans="1:1" x14ac:dyDescent="0.25">
      <c r="A1489" t="s">
        <v>509</v>
      </c>
    </row>
    <row r="1490" spans="1:1" x14ac:dyDescent="0.25">
      <c r="A1490" t="s">
        <v>1030</v>
      </c>
    </row>
    <row r="1491" spans="1:1" x14ac:dyDescent="0.25">
      <c r="A1491">
        <v>1780</v>
      </c>
    </row>
    <row r="1492" spans="1:1" x14ac:dyDescent="0.25">
      <c r="A1492">
        <v>163</v>
      </c>
    </row>
    <row r="1493" spans="1:1" x14ac:dyDescent="0.25">
      <c r="A1493">
        <v>135</v>
      </c>
    </row>
    <row r="1494" spans="1:1" x14ac:dyDescent="0.25">
      <c r="A1494">
        <v>156</v>
      </c>
    </row>
    <row r="1495" spans="1:1" x14ac:dyDescent="0.25">
      <c r="A1495">
        <v>1</v>
      </c>
    </row>
    <row r="1496" spans="1:1" x14ac:dyDescent="0.25">
      <c r="A1496">
        <v>149</v>
      </c>
    </row>
    <row r="1497" spans="1:1" x14ac:dyDescent="0.25">
      <c r="A1497" t="s">
        <v>1032</v>
      </c>
    </row>
    <row r="1498" spans="1:1" x14ac:dyDescent="0.25">
      <c r="A1498" t="s">
        <v>510</v>
      </c>
    </row>
    <row r="1499" spans="1:1" x14ac:dyDescent="0.25">
      <c r="A1499" t="s">
        <v>1033</v>
      </c>
    </row>
    <row r="1500" spans="1:1" x14ac:dyDescent="0.25">
      <c r="A1500">
        <v>3792</v>
      </c>
    </row>
    <row r="1501" spans="1:1" x14ac:dyDescent="0.25">
      <c r="A1501">
        <v>263</v>
      </c>
    </row>
    <row r="1502" spans="1:1" x14ac:dyDescent="0.25">
      <c r="A1502">
        <v>198</v>
      </c>
    </row>
    <row r="1503" spans="1:1" x14ac:dyDescent="0.25">
      <c r="A1503">
        <v>209</v>
      </c>
    </row>
    <row r="1504" spans="1:1" x14ac:dyDescent="0.25">
      <c r="A1504">
        <v>1</v>
      </c>
    </row>
    <row r="1505" spans="1:1" x14ac:dyDescent="0.25">
      <c r="A1505">
        <v>150</v>
      </c>
    </row>
    <row r="1506" spans="1:1" x14ac:dyDescent="0.25">
      <c r="A1506" t="s">
        <v>1034</v>
      </c>
    </row>
    <row r="1507" spans="1:1" x14ac:dyDescent="0.25">
      <c r="A1507" t="s">
        <v>656</v>
      </c>
    </row>
    <row r="1508" spans="1:1" x14ac:dyDescent="0.25">
      <c r="A1508" t="s">
        <v>910</v>
      </c>
    </row>
    <row r="1509" spans="1:1" x14ac:dyDescent="0.25">
      <c r="A1509">
        <v>4178</v>
      </c>
    </row>
    <row r="1510" spans="1:1" x14ac:dyDescent="0.25">
      <c r="A1510">
        <v>300</v>
      </c>
    </row>
    <row r="1511" spans="1:1" x14ac:dyDescent="0.25">
      <c r="A1511">
        <v>182</v>
      </c>
    </row>
    <row r="1512" spans="1:1" x14ac:dyDescent="0.25">
      <c r="A1512">
        <v>214</v>
      </c>
    </row>
    <row r="1513" spans="1:1" x14ac:dyDescent="0.25">
      <c r="A1513">
        <v>1</v>
      </c>
    </row>
    <row r="1514" spans="1:1" x14ac:dyDescent="0.25">
      <c r="A1514">
        <v>150</v>
      </c>
    </row>
    <row r="1515" spans="1:1" x14ac:dyDescent="0.25">
      <c r="A1515" t="s">
        <v>1035</v>
      </c>
    </row>
    <row r="1516" spans="1:1" x14ac:dyDescent="0.25">
      <c r="A1516" t="s">
        <v>1036</v>
      </c>
    </row>
    <row r="1517" spans="1:1" x14ac:dyDescent="0.25">
      <c r="A1517" t="s">
        <v>910</v>
      </c>
    </row>
    <row r="1518" spans="1:1" x14ac:dyDescent="0.25">
      <c r="A1518">
        <v>3187</v>
      </c>
    </row>
    <row r="1519" spans="1:1" x14ac:dyDescent="0.25">
      <c r="A1519">
        <v>182</v>
      </c>
    </row>
    <row r="1520" spans="1:1" x14ac:dyDescent="0.25">
      <c r="A1520">
        <v>278</v>
      </c>
    </row>
    <row r="1521" spans="1:1" x14ac:dyDescent="0.25">
      <c r="A1521">
        <v>214</v>
      </c>
    </row>
    <row r="1522" spans="1:1" x14ac:dyDescent="0.25">
      <c r="A1522">
        <v>1</v>
      </c>
    </row>
    <row r="1523" spans="1:1" x14ac:dyDescent="0.25">
      <c r="A1523">
        <v>151</v>
      </c>
    </row>
    <row r="1524" spans="1:1" x14ac:dyDescent="0.25">
      <c r="A1524" t="s">
        <v>1037</v>
      </c>
    </row>
    <row r="1525" spans="1:1" x14ac:dyDescent="0.25">
      <c r="A1525" t="s">
        <v>657</v>
      </c>
    </row>
    <row r="1526" spans="1:1" x14ac:dyDescent="0.25">
      <c r="A1526" t="s">
        <v>910</v>
      </c>
    </row>
    <row r="1527" spans="1:1" x14ac:dyDescent="0.25">
      <c r="A1527">
        <v>3265</v>
      </c>
    </row>
    <row r="1528" spans="1:1" x14ac:dyDescent="0.25">
      <c r="A1528">
        <v>210</v>
      </c>
    </row>
    <row r="1529" spans="1:1" x14ac:dyDescent="0.25">
      <c r="A1529">
        <v>210</v>
      </c>
    </row>
    <row r="1530" spans="1:1" x14ac:dyDescent="0.25">
      <c r="A1530">
        <v>225</v>
      </c>
    </row>
    <row r="1531" spans="1:1" x14ac:dyDescent="0.25">
      <c r="A1531">
        <v>1</v>
      </c>
    </row>
    <row r="1532" spans="1:1" x14ac:dyDescent="0.25">
      <c r="A1532">
        <v>152</v>
      </c>
    </row>
    <row r="1533" spans="1:1" x14ac:dyDescent="0.25">
      <c r="A1533" t="s">
        <v>1038</v>
      </c>
    </row>
    <row r="1534" spans="1:1" x14ac:dyDescent="0.25">
      <c r="A1534" t="s">
        <v>277</v>
      </c>
    </row>
    <row r="1535" spans="1:1" x14ac:dyDescent="0.25">
      <c r="A1535" t="s">
        <v>988</v>
      </c>
    </row>
    <row r="1536" spans="1:1" x14ac:dyDescent="0.25">
      <c r="A1536">
        <v>935</v>
      </c>
    </row>
    <row r="1537" spans="1:1" x14ac:dyDescent="0.25">
      <c r="A1537">
        <v>92</v>
      </c>
    </row>
    <row r="1538" spans="1:1" x14ac:dyDescent="0.25">
      <c r="A1538">
        <v>122</v>
      </c>
    </row>
    <row r="1539" spans="1:1" x14ac:dyDescent="0.25">
      <c r="A1539">
        <v>128</v>
      </c>
    </row>
    <row r="1540" spans="1:1" x14ac:dyDescent="0.25">
      <c r="A1540">
        <v>2</v>
      </c>
    </row>
    <row r="1541" spans="1:1" x14ac:dyDescent="0.25">
      <c r="A1541">
        <v>153</v>
      </c>
    </row>
    <row r="1542" spans="1:1" x14ac:dyDescent="0.25">
      <c r="A1542" t="s">
        <v>1039</v>
      </c>
    </row>
    <row r="1543" spans="1:1" x14ac:dyDescent="0.25">
      <c r="A1543" t="s">
        <v>278</v>
      </c>
    </row>
    <row r="1544" spans="1:1" x14ac:dyDescent="0.25">
      <c r="A1544" t="s">
        <v>988</v>
      </c>
    </row>
    <row r="1545" spans="1:1" x14ac:dyDescent="0.25">
      <c r="A1545">
        <v>1454</v>
      </c>
    </row>
    <row r="1546" spans="1:1" x14ac:dyDescent="0.25">
      <c r="A1546">
        <v>122</v>
      </c>
    </row>
    <row r="1547" spans="1:1" x14ac:dyDescent="0.25">
      <c r="A1547">
        <v>155</v>
      </c>
    </row>
    <row r="1548" spans="1:1" x14ac:dyDescent="0.25">
      <c r="A1548">
        <v>155</v>
      </c>
    </row>
    <row r="1549" spans="1:1" x14ac:dyDescent="0.25">
      <c r="A1549">
        <v>2</v>
      </c>
    </row>
    <row r="1550" spans="1:1" x14ac:dyDescent="0.25">
      <c r="A1550">
        <v>154</v>
      </c>
    </row>
    <row r="1551" spans="1:1" x14ac:dyDescent="0.25">
      <c r="A1551" t="s">
        <v>1040</v>
      </c>
    </row>
    <row r="1552" spans="1:1" x14ac:dyDescent="0.25">
      <c r="A1552" t="s">
        <v>658</v>
      </c>
    </row>
    <row r="1553" spans="1:1" x14ac:dyDescent="0.25">
      <c r="A1553" t="s">
        <v>988</v>
      </c>
    </row>
    <row r="1554" spans="1:1" x14ac:dyDescent="0.25">
      <c r="A1554">
        <v>2410</v>
      </c>
    </row>
    <row r="1555" spans="1:1" x14ac:dyDescent="0.25">
      <c r="A1555">
        <v>168</v>
      </c>
    </row>
    <row r="1556" spans="1:1" x14ac:dyDescent="0.25">
      <c r="A1556">
        <v>202</v>
      </c>
    </row>
    <row r="1557" spans="1:1" x14ac:dyDescent="0.25">
      <c r="A1557">
        <v>190</v>
      </c>
    </row>
    <row r="1558" spans="1:1" x14ac:dyDescent="0.25">
      <c r="A1558">
        <v>2</v>
      </c>
    </row>
    <row r="1559" spans="1:1" x14ac:dyDescent="0.25">
      <c r="A1559">
        <v>155</v>
      </c>
    </row>
    <row r="1560" spans="1:1" x14ac:dyDescent="0.25">
      <c r="A1560" t="s">
        <v>1041</v>
      </c>
    </row>
    <row r="1561" spans="1:1" x14ac:dyDescent="0.25">
      <c r="A1561" t="s">
        <v>279</v>
      </c>
    </row>
    <row r="1562" spans="1:1" x14ac:dyDescent="0.25">
      <c r="A1562" t="s">
        <v>804</v>
      </c>
    </row>
    <row r="1563" spans="1:1" x14ac:dyDescent="0.25">
      <c r="A1563">
        <v>980</v>
      </c>
    </row>
    <row r="1564" spans="1:1" x14ac:dyDescent="0.25">
      <c r="A1564">
        <v>116</v>
      </c>
    </row>
    <row r="1565" spans="1:1" x14ac:dyDescent="0.25">
      <c r="A1565">
        <v>93</v>
      </c>
    </row>
    <row r="1566" spans="1:1" x14ac:dyDescent="0.25">
      <c r="A1566">
        <v>118</v>
      </c>
    </row>
    <row r="1567" spans="1:1" x14ac:dyDescent="0.25">
      <c r="A1567">
        <v>2</v>
      </c>
    </row>
    <row r="1568" spans="1:1" x14ac:dyDescent="0.25">
      <c r="A1568">
        <v>156</v>
      </c>
    </row>
    <row r="1569" spans="1:1" x14ac:dyDescent="0.25">
      <c r="A1569" t="s">
        <v>1042</v>
      </c>
    </row>
    <row r="1570" spans="1:1" x14ac:dyDescent="0.25">
      <c r="A1570" t="s">
        <v>280</v>
      </c>
    </row>
    <row r="1571" spans="1:1" x14ac:dyDescent="0.25">
      <c r="A1571" t="s">
        <v>804</v>
      </c>
    </row>
    <row r="1572" spans="1:1" x14ac:dyDescent="0.25">
      <c r="A1572">
        <v>1653</v>
      </c>
    </row>
    <row r="1573" spans="1:1" x14ac:dyDescent="0.25">
      <c r="A1573">
        <v>158</v>
      </c>
    </row>
    <row r="1574" spans="1:1" x14ac:dyDescent="0.25">
      <c r="A1574">
        <v>126</v>
      </c>
    </row>
    <row r="1575" spans="1:1" x14ac:dyDescent="0.25">
      <c r="A1575">
        <v>151</v>
      </c>
    </row>
    <row r="1576" spans="1:1" x14ac:dyDescent="0.25">
      <c r="A1576">
        <v>2</v>
      </c>
    </row>
    <row r="1577" spans="1:1" x14ac:dyDescent="0.25">
      <c r="A1577">
        <v>157</v>
      </c>
    </row>
    <row r="1578" spans="1:1" x14ac:dyDescent="0.25">
      <c r="A1578" t="s">
        <v>1043</v>
      </c>
    </row>
    <row r="1579" spans="1:1" x14ac:dyDescent="0.25">
      <c r="A1579" t="s">
        <v>659</v>
      </c>
    </row>
    <row r="1580" spans="1:1" x14ac:dyDescent="0.25">
      <c r="A1580" t="s">
        <v>804</v>
      </c>
    </row>
    <row r="1581" spans="1:1" x14ac:dyDescent="0.25">
      <c r="A1581">
        <v>2889</v>
      </c>
    </row>
    <row r="1582" spans="1:1" x14ac:dyDescent="0.25">
      <c r="A1582">
        <v>223</v>
      </c>
    </row>
    <row r="1583" spans="1:1" x14ac:dyDescent="0.25">
      <c r="A1583">
        <v>173</v>
      </c>
    </row>
    <row r="1584" spans="1:1" x14ac:dyDescent="0.25">
      <c r="A1584">
        <v>186</v>
      </c>
    </row>
    <row r="1585" spans="1:1" x14ac:dyDescent="0.25">
      <c r="A1585">
        <v>2</v>
      </c>
    </row>
    <row r="1586" spans="1:1" x14ac:dyDescent="0.25">
      <c r="A1586">
        <v>158</v>
      </c>
    </row>
    <row r="1587" spans="1:1" x14ac:dyDescent="0.25">
      <c r="A1587" t="s">
        <v>1044</v>
      </c>
    </row>
    <row r="1588" spans="1:1" x14ac:dyDescent="0.25">
      <c r="A1588" t="s">
        <v>281</v>
      </c>
    </row>
    <row r="1589" spans="1:1" x14ac:dyDescent="0.25">
      <c r="A1589" t="s">
        <v>809</v>
      </c>
    </row>
    <row r="1590" spans="1:1" x14ac:dyDescent="0.25">
      <c r="A1590">
        <v>1131</v>
      </c>
    </row>
    <row r="1591" spans="1:1" x14ac:dyDescent="0.25">
      <c r="A1591">
        <v>117</v>
      </c>
    </row>
    <row r="1592" spans="1:1" x14ac:dyDescent="0.25">
      <c r="A1592">
        <v>109</v>
      </c>
    </row>
    <row r="1593" spans="1:1" x14ac:dyDescent="0.25">
      <c r="A1593">
        <v>137</v>
      </c>
    </row>
    <row r="1594" spans="1:1" x14ac:dyDescent="0.25">
      <c r="A1594">
        <v>2</v>
      </c>
    </row>
    <row r="1595" spans="1:1" x14ac:dyDescent="0.25">
      <c r="A1595">
        <v>159</v>
      </c>
    </row>
    <row r="1596" spans="1:1" x14ac:dyDescent="0.25">
      <c r="A1596" t="s">
        <v>1045</v>
      </c>
    </row>
    <row r="1597" spans="1:1" x14ac:dyDescent="0.25">
      <c r="A1597" t="s">
        <v>282</v>
      </c>
    </row>
    <row r="1598" spans="1:1" x14ac:dyDescent="0.25">
      <c r="A1598" t="s">
        <v>809</v>
      </c>
    </row>
    <row r="1599" spans="1:1" x14ac:dyDescent="0.25">
      <c r="A1599">
        <v>1722</v>
      </c>
    </row>
    <row r="1600" spans="1:1" x14ac:dyDescent="0.25">
      <c r="A1600">
        <v>150</v>
      </c>
    </row>
    <row r="1601" spans="1:1" x14ac:dyDescent="0.25">
      <c r="A1601">
        <v>142</v>
      </c>
    </row>
    <row r="1602" spans="1:1" x14ac:dyDescent="0.25">
      <c r="A1602">
        <v>163</v>
      </c>
    </row>
    <row r="1603" spans="1:1" x14ac:dyDescent="0.25">
      <c r="A1603">
        <v>2</v>
      </c>
    </row>
    <row r="1604" spans="1:1" x14ac:dyDescent="0.25">
      <c r="A1604">
        <v>160</v>
      </c>
    </row>
    <row r="1605" spans="1:1" x14ac:dyDescent="0.25">
      <c r="A1605" t="s">
        <v>1046</v>
      </c>
    </row>
    <row r="1606" spans="1:1" x14ac:dyDescent="0.25">
      <c r="A1606" t="s">
        <v>283</v>
      </c>
    </row>
    <row r="1607" spans="1:1" x14ac:dyDescent="0.25">
      <c r="A1607" t="s">
        <v>809</v>
      </c>
    </row>
    <row r="1608" spans="1:1" x14ac:dyDescent="0.25">
      <c r="A1608">
        <v>2857</v>
      </c>
    </row>
    <row r="1609" spans="1:1" x14ac:dyDescent="0.25">
      <c r="A1609">
        <v>205</v>
      </c>
    </row>
    <row r="1610" spans="1:1" x14ac:dyDescent="0.25">
      <c r="A1610">
        <v>188</v>
      </c>
    </row>
    <row r="1611" spans="1:1" x14ac:dyDescent="0.25">
      <c r="A1611">
        <v>198</v>
      </c>
    </row>
    <row r="1612" spans="1:1" x14ac:dyDescent="0.25">
      <c r="A1612">
        <v>2</v>
      </c>
    </row>
    <row r="1613" spans="1:1" x14ac:dyDescent="0.25">
      <c r="A1613">
        <v>161</v>
      </c>
    </row>
    <row r="1614" spans="1:1" x14ac:dyDescent="0.25">
      <c r="A1614" t="s">
        <v>1047</v>
      </c>
    </row>
    <row r="1615" spans="1:1" x14ac:dyDescent="0.25">
      <c r="A1615" t="s">
        <v>119</v>
      </c>
    </row>
    <row r="1616" spans="1:1" x14ac:dyDescent="0.25">
      <c r="A1616" t="s">
        <v>826</v>
      </c>
    </row>
    <row r="1617" spans="1:1" x14ac:dyDescent="0.25">
      <c r="A1617">
        <v>618</v>
      </c>
    </row>
    <row r="1618" spans="1:1" x14ac:dyDescent="0.25">
      <c r="A1618">
        <v>79</v>
      </c>
    </row>
    <row r="1619" spans="1:1" x14ac:dyDescent="0.25">
      <c r="A1619">
        <v>73</v>
      </c>
    </row>
    <row r="1620" spans="1:1" x14ac:dyDescent="0.25">
      <c r="A1620">
        <v>111</v>
      </c>
    </row>
    <row r="1621" spans="1:1" x14ac:dyDescent="0.25">
      <c r="A1621">
        <v>2</v>
      </c>
    </row>
    <row r="1622" spans="1:1" x14ac:dyDescent="0.25">
      <c r="A1622">
        <v>162</v>
      </c>
    </row>
    <row r="1623" spans="1:1" x14ac:dyDescent="0.25">
      <c r="A1623" t="s">
        <v>1048</v>
      </c>
    </row>
    <row r="1624" spans="1:1" x14ac:dyDescent="0.25">
      <c r="A1624" t="s">
        <v>120</v>
      </c>
    </row>
    <row r="1625" spans="1:1" x14ac:dyDescent="0.25">
      <c r="A1625" t="s">
        <v>826</v>
      </c>
    </row>
    <row r="1626" spans="1:1" x14ac:dyDescent="0.25">
      <c r="A1626">
        <v>1758</v>
      </c>
    </row>
    <row r="1627" spans="1:1" x14ac:dyDescent="0.25">
      <c r="A1627">
        <v>148</v>
      </c>
    </row>
    <row r="1628" spans="1:1" x14ac:dyDescent="0.25">
      <c r="A1628">
        <v>125</v>
      </c>
    </row>
    <row r="1629" spans="1:1" x14ac:dyDescent="0.25">
      <c r="A1629">
        <v>198</v>
      </c>
    </row>
    <row r="1630" spans="1:1" x14ac:dyDescent="0.25">
      <c r="A1630">
        <v>2</v>
      </c>
    </row>
    <row r="1631" spans="1:1" x14ac:dyDescent="0.25">
      <c r="A1631">
        <v>163</v>
      </c>
    </row>
    <row r="1632" spans="1:1" x14ac:dyDescent="0.25">
      <c r="A1632" t="s">
        <v>1049</v>
      </c>
    </row>
    <row r="1633" spans="1:1" x14ac:dyDescent="0.25">
      <c r="A1633" t="s">
        <v>121</v>
      </c>
    </row>
    <row r="1634" spans="1:1" x14ac:dyDescent="0.25">
      <c r="A1634" t="s">
        <v>822</v>
      </c>
    </row>
    <row r="1635" spans="1:1" x14ac:dyDescent="0.25">
      <c r="A1635">
        <v>677</v>
      </c>
    </row>
    <row r="1636" spans="1:1" x14ac:dyDescent="0.25">
      <c r="A1636">
        <v>67</v>
      </c>
    </row>
    <row r="1637" spans="1:1" x14ac:dyDescent="0.25">
      <c r="A1637">
        <v>88</v>
      </c>
    </row>
    <row r="1638" spans="1:1" x14ac:dyDescent="0.25">
      <c r="A1638">
        <v>155</v>
      </c>
    </row>
    <row r="1639" spans="1:1" x14ac:dyDescent="0.25">
      <c r="A1639">
        <v>2</v>
      </c>
    </row>
    <row r="1640" spans="1:1" x14ac:dyDescent="0.25">
      <c r="A1640">
        <v>164</v>
      </c>
    </row>
    <row r="1641" spans="1:1" x14ac:dyDescent="0.25">
      <c r="A1641" t="s">
        <v>1050</v>
      </c>
    </row>
    <row r="1642" spans="1:1" x14ac:dyDescent="0.25">
      <c r="A1642" t="s">
        <v>122</v>
      </c>
    </row>
    <row r="1643" spans="1:1" x14ac:dyDescent="0.25">
      <c r="A1643" t="s">
        <v>822</v>
      </c>
    </row>
    <row r="1644" spans="1:1" x14ac:dyDescent="0.25">
      <c r="A1644">
        <v>2024</v>
      </c>
    </row>
    <row r="1645" spans="1:1" x14ac:dyDescent="0.25">
      <c r="A1645">
        <v>145</v>
      </c>
    </row>
    <row r="1646" spans="1:1" x14ac:dyDescent="0.25">
      <c r="A1646">
        <v>156</v>
      </c>
    </row>
    <row r="1647" spans="1:1" x14ac:dyDescent="0.25">
      <c r="A1647">
        <v>225</v>
      </c>
    </row>
    <row r="1648" spans="1:1" x14ac:dyDescent="0.25">
      <c r="A1648">
        <v>2</v>
      </c>
    </row>
    <row r="1649" spans="1:1" x14ac:dyDescent="0.25">
      <c r="A1649">
        <v>165</v>
      </c>
    </row>
    <row r="1650" spans="1:1" x14ac:dyDescent="0.25">
      <c r="A1650" t="s">
        <v>1051</v>
      </c>
    </row>
    <row r="1651" spans="1:1" x14ac:dyDescent="0.25">
      <c r="A1651" t="s">
        <v>123</v>
      </c>
    </row>
    <row r="1652" spans="1:1" x14ac:dyDescent="0.25">
      <c r="A1652" t="s">
        <v>816</v>
      </c>
    </row>
    <row r="1653" spans="1:1" x14ac:dyDescent="0.25">
      <c r="A1653">
        <v>728</v>
      </c>
    </row>
    <row r="1654" spans="1:1" x14ac:dyDescent="0.25">
      <c r="A1654">
        <v>72</v>
      </c>
    </row>
    <row r="1655" spans="1:1" x14ac:dyDescent="0.25">
      <c r="A1655">
        <v>118</v>
      </c>
    </row>
    <row r="1656" spans="1:1" x14ac:dyDescent="0.25">
      <c r="A1656">
        <v>120</v>
      </c>
    </row>
    <row r="1657" spans="1:1" x14ac:dyDescent="0.25">
      <c r="A1657">
        <v>2</v>
      </c>
    </row>
    <row r="1658" spans="1:1" x14ac:dyDescent="0.25">
      <c r="A1658">
        <v>166</v>
      </c>
    </row>
    <row r="1659" spans="1:1" x14ac:dyDescent="0.25">
      <c r="A1659" t="s">
        <v>1052</v>
      </c>
    </row>
    <row r="1660" spans="1:1" x14ac:dyDescent="0.25">
      <c r="A1660" t="s">
        <v>124</v>
      </c>
    </row>
    <row r="1661" spans="1:1" x14ac:dyDescent="0.25">
      <c r="A1661" t="s">
        <v>816</v>
      </c>
    </row>
    <row r="1662" spans="1:1" x14ac:dyDescent="0.25">
      <c r="A1662">
        <v>1346</v>
      </c>
    </row>
    <row r="1663" spans="1:1" x14ac:dyDescent="0.25">
      <c r="A1663">
        <v>107</v>
      </c>
    </row>
    <row r="1664" spans="1:1" x14ac:dyDescent="0.25">
      <c r="A1664">
        <v>179</v>
      </c>
    </row>
    <row r="1665" spans="1:1" x14ac:dyDescent="0.25">
      <c r="A1665">
        <v>146</v>
      </c>
    </row>
    <row r="1666" spans="1:1" x14ac:dyDescent="0.25">
      <c r="A1666">
        <v>2</v>
      </c>
    </row>
    <row r="1667" spans="1:1" x14ac:dyDescent="0.25">
      <c r="A1667">
        <v>167</v>
      </c>
    </row>
    <row r="1668" spans="1:1" x14ac:dyDescent="0.25">
      <c r="A1668" t="s">
        <v>1053</v>
      </c>
    </row>
    <row r="1669" spans="1:1" x14ac:dyDescent="0.25">
      <c r="A1669" t="s">
        <v>125</v>
      </c>
    </row>
    <row r="1670" spans="1:1" x14ac:dyDescent="0.25">
      <c r="A1670" t="s">
        <v>818</v>
      </c>
    </row>
    <row r="1671" spans="1:1" x14ac:dyDescent="0.25">
      <c r="A1671">
        <v>816</v>
      </c>
    </row>
    <row r="1672" spans="1:1" x14ac:dyDescent="0.25">
      <c r="A1672">
        <v>105</v>
      </c>
    </row>
    <row r="1673" spans="1:1" x14ac:dyDescent="0.25">
      <c r="A1673">
        <v>73</v>
      </c>
    </row>
    <row r="1674" spans="1:1" x14ac:dyDescent="0.25">
      <c r="A1674">
        <v>120</v>
      </c>
    </row>
    <row r="1675" spans="1:1" x14ac:dyDescent="0.25">
      <c r="A1675">
        <v>2</v>
      </c>
    </row>
    <row r="1676" spans="1:1" x14ac:dyDescent="0.25">
      <c r="A1676">
        <v>168</v>
      </c>
    </row>
    <row r="1677" spans="1:1" x14ac:dyDescent="0.25">
      <c r="A1677" t="s">
        <v>1054</v>
      </c>
    </row>
    <row r="1678" spans="1:1" x14ac:dyDescent="0.25">
      <c r="A1678" t="s">
        <v>126</v>
      </c>
    </row>
    <row r="1679" spans="1:1" x14ac:dyDescent="0.25">
      <c r="A1679" t="s">
        <v>818</v>
      </c>
    </row>
    <row r="1680" spans="1:1" x14ac:dyDescent="0.25">
      <c r="A1680">
        <v>1772</v>
      </c>
    </row>
    <row r="1681" spans="1:1" x14ac:dyDescent="0.25">
      <c r="A1681">
        <v>161</v>
      </c>
    </row>
    <row r="1682" spans="1:1" x14ac:dyDescent="0.25">
      <c r="A1682">
        <v>124</v>
      </c>
    </row>
    <row r="1683" spans="1:1" x14ac:dyDescent="0.25">
      <c r="A1683">
        <v>172</v>
      </c>
    </row>
    <row r="1684" spans="1:1" x14ac:dyDescent="0.25">
      <c r="A1684">
        <v>2</v>
      </c>
    </row>
    <row r="1685" spans="1:1" x14ac:dyDescent="0.25">
      <c r="A1685">
        <v>169</v>
      </c>
    </row>
    <row r="1686" spans="1:1" x14ac:dyDescent="0.25">
      <c r="A1686" t="s">
        <v>1055</v>
      </c>
    </row>
    <row r="1687" spans="1:1" x14ac:dyDescent="0.25">
      <c r="A1687" t="s">
        <v>127</v>
      </c>
    </row>
    <row r="1688" spans="1:1" x14ac:dyDescent="0.25">
      <c r="A1688" t="s">
        <v>874</v>
      </c>
    </row>
    <row r="1689" spans="1:1" x14ac:dyDescent="0.25">
      <c r="A1689">
        <v>2646</v>
      </c>
    </row>
    <row r="1690" spans="1:1" x14ac:dyDescent="0.25">
      <c r="A1690">
        <v>194</v>
      </c>
    </row>
    <row r="1691" spans="1:1" x14ac:dyDescent="0.25">
      <c r="A1691">
        <v>178</v>
      </c>
    </row>
    <row r="1692" spans="1:1" x14ac:dyDescent="0.25">
      <c r="A1692">
        <v>198</v>
      </c>
    </row>
    <row r="1693" spans="1:1" x14ac:dyDescent="0.25">
      <c r="A1693">
        <v>2</v>
      </c>
    </row>
    <row r="1694" spans="1:1" x14ac:dyDescent="0.25">
      <c r="A1694">
        <v>170</v>
      </c>
    </row>
    <row r="1695" spans="1:1" x14ac:dyDescent="0.25">
      <c r="A1695" t="s">
        <v>1056</v>
      </c>
    </row>
    <row r="1696" spans="1:1" x14ac:dyDescent="0.25">
      <c r="A1696" t="s">
        <v>284</v>
      </c>
    </row>
    <row r="1697" spans="1:1" x14ac:dyDescent="0.25">
      <c r="A1697" t="s">
        <v>1057</v>
      </c>
    </row>
    <row r="1698" spans="1:1" x14ac:dyDescent="0.25">
      <c r="A1698">
        <v>1119</v>
      </c>
    </row>
    <row r="1699" spans="1:1" x14ac:dyDescent="0.25">
      <c r="A1699">
        <v>106</v>
      </c>
    </row>
    <row r="1700" spans="1:1" x14ac:dyDescent="0.25">
      <c r="A1700">
        <v>97</v>
      </c>
    </row>
    <row r="1701" spans="1:1" x14ac:dyDescent="0.25">
      <c r="A1701">
        <v>181</v>
      </c>
    </row>
    <row r="1702" spans="1:1" x14ac:dyDescent="0.25">
      <c r="A1702">
        <v>2</v>
      </c>
    </row>
    <row r="1703" spans="1:1" x14ac:dyDescent="0.25">
      <c r="A1703">
        <v>171</v>
      </c>
    </row>
    <row r="1704" spans="1:1" x14ac:dyDescent="0.25">
      <c r="A1704" t="s">
        <v>1058</v>
      </c>
    </row>
    <row r="1705" spans="1:1" x14ac:dyDescent="0.25">
      <c r="A1705" t="s">
        <v>285</v>
      </c>
    </row>
    <row r="1706" spans="1:1" x14ac:dyDescent="0.25">
      <c r="A1706" t="s">
        <v>1057</v>
      </c>
    </row>
    <row r="1707" spans="1:1" x14ac:dyDescent="0.25">
      <c r="A1707">
        <v>2085</v>
      </c>
    </row>
    <row r="1708" spans="1:1" x14ac:dyDescent="0.25">
      <c r="A1708">
        <v>146</v>
      </c>
    </row>
    <row r="1709" spans="1:1" x14ac:dyDescent="0.25">
      <c r="A1709">
        <v>137</v>
      </c>
    </row>
    <row r="1710" spans="1:1" x14ac:dyDescent="0.25">
      <c r="A1710">
        <v>268</v>
      </c>
    </row>
    <row r="1711" spans="1:1" x14ac:dyDescent="0.25">
      <c r="A1711">
        <v>2</v>
      </c>
    </row>
    <row r="1712" spans="1:1" x14ac:dyDescent="0.25">
      <c r="A1712">
        <v>172</v>
      </c>
    </row>
    <row r="1713" spans="1:1" x14ac:dyDescent="0.25">
      <c r="A1713" t="s">
        <v>1059</v>
      </c>
    </row>
    <row r="1714" spans="1:1" x14ac:dyDescent="0.25">
      <c r="A1714" t="s">
        <v>116</v>
      </c>
    </row>
    <row r="1715" spans="1:1" x14ac:dyDescent="0.25">
      <c r="A1715" t="s">
        <v>839</v>
      </c>
    </row>
    <row r="1716" spans="1:1" x14ac:dyDescent="0.25">
      <c r="A1716">
        <v>473</v>
      </c>
    </row>
    <row r="1717" spans="1:1" x14ac:dyDescent="0.25">
      <c r="A1717">
        <v>77</v>
      </c>
    </row>
    <row r="1718" spans="1:1" x14ac:dyDescent="0.25">
      <c r="A1718">
        <v>53</v>
      </c>
    </row>
    <row r="1719" spans="1:1" x14ac:dyDescent="0.25">
      <c r="A1719">
        <v>85</v>
      </c>
    </row>
    <row r="1720" spans="1:1" x14ac:dyDescent="0.25">
      <c r="A1720">
        <v>2</v>
      </c>
    </row>
    <row r="1721" spans="1:1" x14ac:dyDescent="0.25">
      <c r="A1721">
        <v>173</v>
      </c>
    </row>
    <row r="1722" spans="1:1" x14ac:dyDescent="0.25">
      <c r="A1722" t="s">
        <v>1060</v>
      </c>
    </row>
    <row r="1723" spans="1:1" x14ac:dyDescent="0.25">
      <c r="A1723" t="s">
        <v>117</v>
      </c>
    </row>
    <row r="1724" spans="1:1" x14ac:dyDescent="0.25">
      <c r="A1724" t="s">
        <v>860</v>
      </c>
    </row>
    <row r="1725" spans="1:1" x14ac:dyDescent="0.25">
      <c r="A1725">
        <v>671</v>
      </c>
    </row>
    <row r="1726" spans="1:1" x14ac:dyDescent="0.25">
      <c r="A1726">
        <v>75</v>
      </c>
    </row>
    <row r="1727" spans="1:1" x14ac:dyDescent="0.25">
      <c r="A1727">
        <v>79</v>
      </c>
    </row>
    <row r="1728" spans="1:1" x14ac:dyDescent="0.25">
      <c r="A1728">
        <v>137</v>
      </c>
    </row>
    <row r="1729" spans="1:1" x14ac:dyDescent="0.25">
      <c r="A1729">
        <v>2</v>
      </c>
    </row>
    <row r="1730" spans="1:1" x14ac:dyDescent="0.25">
      <c r="A1730">
        <v>174</v>
      </c>
    </row>
    <row r="1731" spans="1:1" x14ac:dyDescent="0.25">
      <c r="A1731" t="s">
        <v>1061</v>
      </c>
    </row>
    <row r="1732" spans="1:1" x14ac:dyDescent="0.25">
      <c r="A1732" t="s">
        <v>118</v>
      </c>
    </row>
    <row r="1733" spans="1:1" x14ac:dyDescent="0.25">
      <c r="A1733" t="s">
        <v>871</v>
      </c>
    </row>
    <row r="1734" spans="1:1" x14ac:dyDescent="0.25">
      <c r="A1734">
        <v>535</v>
      </c>
    </row>
    <row r="1735" spans="1:1" x14ac:dyDescent="0.25">
      <c r="A1735">
        <v>69</v>
      </c>
    </row>
    <row r="1736" spans="1:1" x14ac:dyDescent="0.25">
      <c r="A1736">
        <v>32</v>
      </c>
    </row>
    <row r="1737" spans="1:1" x14ac:dyDescent="0.25">
      <c r="A1737">
        <v>207</v>
      </c>
    </row>
    <row r="1738" spans="1:1" x14ac:dyDescent="0.25">
      <c r="A1738">
        <v>2</v>
      </c>
    </row>
    <row r="1739" spans="1:1" x14ac:dyDescent="0.25">
      <c r="A1739">
        <v>175</v>
      </c>
    </row>
    <row r="1740" spans="1:1" x14ac:dyDescent="0.25">
      <c r="A1740" t="s">
        <v>1062</v>
      </c>
    </row>
    <row r="1741" spans="1:1" x14ac:dyDescent="0.25">
      <c r="A1741" t="s">
        <v>286</v>
      </c>
    </row>
    <row r="1742" spans="1:1" x14ac:dyDescent="0.25">
      <c r="A1742" t="s">
        <v>860</v>
      </c>
    </row>
    <row r="1743" spans="1:1" x14ac:dyDescent="0.25">
      <c r="A1743">
        <v>657</v>
      </c>
    </row>
    <row r="1744" spans="1:1" x14ac:dyDescent="0.25">
      <c r="A1744">
        <v>67</v>
      </c>
    </row>
    <row r="1745" spans="1:1" x14ac:dyDescent="0.25">
      <c r="A1745">
        <v>116</v>
      </c>
    </row>
    <row r="1746" spans="1:1" x14ac:dyDescent="0.25">
      <c r="A1746">
        <v>111</v>
      </c>
    </row>
    <row r="1747" spans="1:1" x14ac:dyDescent="0.25">
      <c r="A1747">
        <v>2</v>
      </c>
    </row>
    <row r="1748" spans="1:1" x14ac:dyDescent="0.25">
      <c r="A1748">
        <v>176</v>
      </c>
    </row>
    <row r="1749" spans="1:1" x14ac:dyDescent="0.25">
      <c r="A1749" t="s">
        <v>1063</v>
      </c>
    </row>
    <row r="1750" spans="1:1" x14ac:dyDescent="0.25">
      <c r="A1750" t="s">
        <v>287</v>
      </c>
    </row>
    <row r="1751" spans="1:1" x14ac:dyDescent="0.25">
      <c r="A1751" t="s">
        <v>1064</v>
      </c>
    </row>
    <row r="1752" spans="1:1" x14ac:dyDescent="0.25">
      <c r="A1752">
        <v>1708</v>
      </c>
    </row>
    <row r="1753" spans="1:1" x14ac:dyDescent="0.25">
      <c r="A1753">
        <v>139</v>
      </c>
    </row>
    <row r="1754" spans="1:1" x14ac:dyDescent="0.25">
      <c r="A1754">
        <v>181</v>
      </c>
    </row>
    <row r="1755" spans="1:1" x14ac:dyDescent="0.25">
      <c r="A1755">
        <v>146</v>
      </c>
    </row>
    <row r="1756" spans="1:1" x14ac:dyDescent="0.25">
      <c r="A1756">
        <v>2</v>
      </c>
    </row>
    <row r="1757" spans="1:1" x14ac:dyDescent="0.25">
      <c r="A1757">
        <v>177</v>
      </c>
    </row>
    <row r="1758" spans="1:1" x14ac:dyDescent="0.25">
      <c r="A1758" t="s">
        <v>1065</v>
      </c>
    </row>
    <row r="1759" spans="1:1" x14ac:dyDescent="0.25">
      <c r="A1759" t="s">
        <v>288</v>
      </c>
    </row>
    <row r="1760" spans="1:1" x14ac:dyDescent="0.25">
      <c r="A1760" t="s">
        <v>1066</v>
      </c>
    </row>
    <row r="1761" spans="1:1" x14ac:dyDescent="0.25">
      <c r="A1761">
        <v>1102</v>
      </c>
    </row>
    <row r="1762" spans="1:1" x14ac:dyDescent="0.25">
      <c r="A1762">
        <v>134</v>
      </c>
    </row>
    <row r="1763" spans="1:1" x14ac:dyDescent="0.25">
      <c r="A1763">
        <v>89</v>
      </c>
    </row>
    <row r="1764" spans="1:1" x14ac:dyDescent="0.25">
      <c r="A1764">
        <v>120</v>
      </c>
    </row>
    <row r="1765" spans="1:1" x14ac:dyDescent="0.25">
      <c r="A1765">
        <v>2</v>
      </c>
    </row>
    <row r="1766" spans="1:1" x14ac:dyDescent="0.25">
      <c r="A1766">
        <v>178</v>
      </c>
    </row>
    <row r="1767" spans="1:1" x14ac:dyDescent="0.25">
      <c r="A1767" t="s">
        <v>1067</v>
      </c>
    </row>
    <row r="1768" spans="1:1" x14ac:dyDescent="0.25">
      <c r="A1768" t="s">
        <v>289</v>
      </c>
    </row>
    <row r="1769" spans="1:1" x14ac:dyDescent="0.25">
      <c r="A1769" t="s">
        <v>1066</v>
      </c>
    </row>
    <row r="1770" spans="1:1" x14ac:dyDescent="0.25">
      <c r="A1770">
        <v>2188</v>
      </c>
    </row>
    <row r="1771" spans="1:1" x14ac:dyDescent="0.25">
      <c r="A1771">
        <v>192</v>
      </c>
    </row>
    <row r="1772" spans="1:1" x14ac:dyDescent="0.25">
      <c r="A1772">
        <v>146</v>
      </c>
    </row>
    <row r="1773" spans="1:1" x14ac:dyDescent="0.25">
      <c r="A1773">
        <v>163</v>
      </c>
    </row>
    <row r="1774" spans="1:1" x14ac:dyDescent="0.25">
      <c r="A1774">
        <v>2</v>
      </c>
    </row>
    <row r="1775" spans="1:1" x14ac:dyDescent="0.25">
      <c r="A1775">
        <v>179</v>
      </c>
    </row>
    <row r="1776" spans="1:1" x14ac:dyDescent="0.25">
      <c r="A1776" t="s">
        <v>1068</v>
      </c>
    </row>
    <row r="1777" spans="1:1" x14ac:dyDescent="0.25">
      <c r="A1777" t="s">
        <v>514</v>
      </c>
    </row>
    <row r="1778" spans="1:1" x14ac:dyDescent="0.25">
      <c r="A1778" t="s">
        <v>839</v>
      </c>
    </row>
    <row r="1779" spans="1:1" x14ac:dyDescent="0.25">
      <c r="A1779">
        <v>991</v>
      </c>
    </row>
    <row r="1780" spans="1:1" x14ac:dyDescent="0.25">
      <c r="A1780">
        <v>114</v>
      </c>
    </row>
    <row r="1781" spans="1:1" x14ac:dyDescent="0.25">
      <c r="A1781">
        <v>79</v>
      </c>
    </row>
    <row r="1782" spans="1:1" x14ac:dyDescent="0.25">
      <c r="A1782">
        <v>146</v>
      </c>
    </row>
    <row r="1783" spans="1:1" x14ac:dyDescent="0.25">
      <c r="A1783">
        <v>2</v>
      </c>
    </row>
    <row r="1784" spans="1:1" x14ac:dyDescent="0.25">
      <c r="A1784">
        <v>180</v>
      </c>
    </row>
    <row r="1785" spans="1:1" x14ac:dyDescent="0.25">
      <c r="A1785" t="s">
        <v>1069</v>
      </c>
    </row>
    <row r="1786" spans="1:1" x14ac:dyDescent="0.25">
      <c r="A1786" t="s">
        <v>515</v>
      </c>
    </row>
    <row r="1787" spans="1:1" x14ac:dyDescent="0.25">
      <c r="A1787" t="s">
        <v>839</v>
      </c>
    </row>
    <row r="1788" spans="1:1" x14ac:dyDescent="0.25">
      <c r="A1788">
        <v>1521</v>
      </c>
    </row>
    <row r="1789" spans="1:1" x14ac:dyDescent="0.25">
      <c r="A1789">
        <v>145</v>
      </c>
    </row>
    <row r="1790" spans="1:1" x14ac:dyDescent="0.25">
      <c r="A1790">
        <v>109</v>
      </c>
    </row>
    <row r="1791" spans="1:1" x14ac:dyDescent="0.25">
      <c r="A1791">
        <v>172</v>
      </c>
    </row>
    <row r="1792" spans="1:1" x14ac:dyDescent="0.25">
      <c r="A1792">
        <v>2</v>
      </c>
    </row>
    <row r="1793" spans="1:1" x14ac:dyDescent="0.25">
      <c r="A1793">
        <v>181</v>
      </c>
    </row>
    <row r="1794" spans="1:1" x14ac:dyDescent="0.25">
      <c r="A1794" t="s">
        <v>1070</v>
      </c>
    </row>
    <row r="1795" spans="1:1" x14ac:dyDescent="0.25">
      <c r="A1795" t="s">
        <v>516</v>
      </c>
    </row>
    <row r="1796" spans="1:1" x14ac:dyDescent="0.25">
      <c r="A1796" t="s">
        <v>839</v>
      </c>
    </row>
    <row r="1797" spans="1:1" x14ac:dyDescent="0.25">
      <c r="A1797">
        <v>2852</v>
      </c>
    </row>
    <row r="1798" spans="1:1" x14ac:dyDescent="0.25">
      <c r="A1798">
        <v>211</v>
      </c>
    </row>
    <row r="1799" spans="1:1" x14ac:dyDescent="0.25">
      <c r="A1799">
        <v>169</v>
      </c>
    </row>
    <row r="1800" spans="1:1" x14ac:dyDescent="0.25">
      <c r="A1800">
        <v>207</v>
      </c>
    </row>
    <row r="1801" spans="1:1" x14ac:dyDescent="0.25">
      <c r="A1801">
        <v>2</v>
      </c>
    </row>
    <row r="1802" spans="1:1" x14ac:dyDescent="0.25">
      <c r="A1802">
        <v>182</v>
      </c>
    </row>
    <row r="1803" spans="1:1" x14ac:dyDescent="0.25">
      <c r="A1803" t="s">
        <v>1071</v>
      </c>
    </row>
    <row r="1804" spans="1:1" x14ac:dyDescent="0.25">
      <c r="A1804" t="s">
        <v>290</v>
      </c>
    </row>
    <row r="1805" spans="1:1" x14ac:dyDescent="0.25">
      <c r="A1805" t="s">
        <v>988</v>
      </c>
    </row>
    <row r="1806" spans="1:1" x14ac:dyDescent="0.25">
      <c r="A1806">
        <v>2281</v>
      </c>
    </row>
    <row r="1807" spans="1:1" x14ac:dyDescent="0.25">
      <c r="A1807">
        <v>169</v>
      </c>
    </row>
    <row r="1808" spans="1:1" x14ac:dyDescent="0.25">
      <c r="A1808">
        <v>186</v>
      </c>
    </row>
    <row r="1809" spans="1:1" x14ac:dyDescent="0.25">
      <c r="A1809">
        <v>181</v>
      </c>
    </row>
    <row r="1810" spans="1:1" x14ac:dyDescent="0.25">
      <c r="A1810">
        <v>2</v>
      </c>
    </row>
    <row r="1811" spans="1:1" x14ac:dyDescent="0.25">
      <c r="A1811">
        <v>183</v>
      </c>
    </row>
    <row r="1812" spans="1:1" x14ac:dyDescent="0.25">
      <c r="A1812" t="s">
        <v>1072</v>
      </c>
    </row>
    <row r="1813" spans="1:1" x14ac:dyDescent="0.25">
      <c r="A1813" t="s">
        <v>291</v>
      </c>
    </row>
    <row r="1814" spans="1:1" x14ac:dyDescent="0.25">
      <c r="A1814" t="s">
        <v>1073</v>
      </c>
    </row>
    <row r="1815" spans="1:1" x14ac:dyDescent="0.25">
      <c r="A1815">
        <v>461</v>
      </c>
    </row>
    <row r="1816" spans="1:1" x14ac:dyDescent="0.25">
      <c r="A1816">
        <v>37</v>
      </c>
    </row>
    <row r="1817" spans="1:1" x14ac:dyDescent="0.25">
      <c r="A1817">
        <v>93</v>
      </c>
    </row>
    <row r="1818" spans="1:1" x14ac:dyDescent="0.25">
      <c r="A1818">
        <v>172</v>
      </c>
    </row>
    <row r="1819" spans="1:1" x14ac:dyDescent="0.25">
      <c r="A1819">
        <v>2</v>
      </c>
    </row>
    <row r="1820" spans="1:1" x14ac:dyDescent="0.25">
      <c r="A1820">
        <v>184</v>
      </c>
    </row>
    <row r="1821" spans="1:1" x14ac:dyDescent="0.25">
      <c r="A1821" t="s">
        <v>1074</v>
      </c>
    </row>
    <row r="1822" spans="1:1" x14ac:dyDescent="0.25">
      <c r="A1822" t="s">
        <v>292</v>
      </c>
    </row>
    <row r="1823" spans="1:1" x14ac:dyDescent="0.25">
      <c r="A1823" t="s">
        <v>1073</v>
      </c>
    </row>
    <row r="1824" spans="1:1" x14ac:dyDescent="0.25">
      <c r="A1824">
        <v>1588</v>
      </c>
    </row>
    <row r="1825" spans="1:1" x14ac:dyDescent="0.25">
      <c r="A1825">
        <v>112</v>
      </c>
    </row>
    <row r="1826" spans="1:1" x14ac:dyDescent="0.25">
      <c r="A1826">
        <v>152</v>
      </c>
    </row>
    <row r="1827" spans="1:1" x14ac:dyDescent="0.25">
      <c r="A1827">
        <v>225</v>
      </c>
    </row>
    <row r="1828" spans="1:1" x14ac:dyDescent="0.25">
      <c r="A1828">
        <v>2</v>
      </c>
    </row>
    <row r="1829" spans="1:1" x14ac:dyDescent="0.25">
      <c r="A1829">
        <v>185</v>
      </c>
    </row>
    <row r="1830" spans="1:1" x14ac:dyDescent="0.25">
      <c r="A1830" t="s">
        <v>1075</v>
      </c>
    </row>
    <row r="1831" spans="1:1" x14ac:dyDescent="0.25">
      <c r="A1831" t="s">
        <v>517</v>
      </c>
    </row>
    <row r="1832" spans="1:1" x14ac:dyDescent="0.25">
      <c r="A1832" t="s">
        <v>1076</v>
      </c>
    </row>
    <row r="1833" spans="1:1" x14ac:dyDescent="0.25">
      <c r="A1833">
        <v>2148</v>
      </c>
    </row>
    <row r="1834" spans="1:1" x14ac:dyDescent="0.25">
      <c r="A1834">
        <v>167</v>
      </c>
    </row>
    <row r="1835" spans="1:1" x14ac:dyDescent="0.25">
      <c r="A1835">
        <v>176</v>
      </c>
    </row>
    <row r="1836" spans="1:1" x14ac:dyDescent="0.25">
      <c r="A1836">
        <v>172</v>
      </c>
    </row>
    <row r="1837" spans="1:1" x14ac:dyDescent="0.25">
      <c r="A1837">
        <v>2</v>
      </c>
    </row>
    <row r="1838" spans="1:1" x14ac:dyDescent="0.25">
      <c r="A1838">
        <v>186</v>
      </c>
    </row>
    <row r="1839" spans="1:1" x14ac:dyDescent="0.25">
      <c r="A1839" t="s">
        <v>1077</v>
      </c>
    </row>
    <row r="1840" spans="1:1" x14ac:dyDescent="0.25">
      <c r="A1840" t="s">
        <v>293</v>
      </c>
    </row>
    <row r="1841" spans="1:1" x14ac:dyDescent="0.25">
      <c r="A1841" t="s">
        <v>809</v>
      </c>
    </row>
    <row r="1842" spans="1:1" x14ac:dyDescent="0.25">
      <c r="A1842">
        <v>2449</v>
      </c>
    </row>
    <row r="1843" spans="1:1" x14ac:dyDescent="0.25">
      <c r="A1843">
        <v>174</v>
      </c>
    </row>
    <row r="1844" spans="1:1" x14ac:dyDescent="0.25">
      <c r="A1844">
        <v>179</v>
      </c>
    </row>
    <row r="1845" spans="1:1" x14ac:dyDescent="0.25">
      <c r="A1845">
        <v>207</v>
      </c>
    </row>
    <row r="1846" spans="1:1" x14ac:dyDescent="0.25">
      <c r="A1846">
        <v>2</v>
      </c>
    </row>
    <row r="1847" spans="1:1" x14ac:dyDescent="0.25">
      <c r="A1847">
        <v>187</v>
      </c>
    </row>
    <row r="1848" spans="1:1" x14ac:dyDescent="0.25">
      <c r="A1848" t="s">
        <v>1078</v>
      </c>
    </row>
    <row r="1849" spans="1:1" x14ac:dyDescent="0.25">
      <c r="A1849" t="s">
        <v>294</v>
      </c>
    </row>
    <row r="1850" spans="1:1" x14ac:dyDescent="0.25">
      <c r="A1850" t="s">
        <v>1079</v>
      </c>
    </row>
    <row r="1851" spans="1:1" x14ac:dyDescent="0.25">
      <c r="A1851">
        <v>600</v>
      </c>
    </row>
    <row r="1852" spans="1:1" x14ac:dyDescent="0.25">
      <c r="A1852">
        <v>67</v>
      </c>
    </row>
    <row r="1853" spans="1:1" x14ac:dyDescent="0.25">
      <c r="A1853">
        <v>94</v>
      </c>
    </row>
    <row r="1854" spans="1:1" x14ac:dyDescent="0.25">
      <c r="A1854">
        <v>111</v>
      </c>
    </row>
    <row r="1855" spans="1:1" x14ac:dyDescent="0.25">
      <c r="A1855">
        <v>2</v>
      </c>
    </row>
    <row r="1856" spans="1:1" x14ac:dyDescent="0.25">
      <c r="A1856">
        <v>188</v>
      </c>
    </row>
    <row r="1857" spans="1:1" x14ac:dyDescent="0.25">
      <c r="A1857" t="s">
        <v>1080</v>
      </c>
    </row>
    <row r="1858" spans="1:1" x14ac:dyDescent="0.25">
      <c r="A1858" t="s">
        <v>295</v>
      </c>
    </row>
    <row r="1859" spans="1:1" x14ac:dyDescent="0.25">
      <c r="A1859" t="s">
        <v>1079</v>
      </c>
    </row>
    <row r="1860" spans="1:1" x14ac:dyDescent="0.25">
      <c r="A1860">
        <v>976</v>
      </c>
    </row>
    <row r="1861" spans="1:1" x14ac:dyDescent="0.25">
      <c r="A1861">
        <v>91</v>
      </c>
    </row>
    <row r="1862" spans="1:1" x14ac:dyDescent="0.25">
      <c r="A1862">
        <v>120</v>
      </c>
    </row>
    <row r="1863" spans="1:1" x14ac:dyDescent="0.25">
      <c r="A1863">
        <v>146</v>
      </c>
    </row>
    <row r="1864" spans="1:1" x14ac:dyDescent="0.25">
      <c r="A1864">
        <v>2</v>
      </c>
    </row>
    <row r="1865" spans="1:1" x14ac:dyDescent="0.25">
      <c r="A1865">
        <v>189</v>
      </c>
    </row>
    <row r="1866" spans="1:1" x14ac:dyDescent="0.25">
      <c r="A1866" t="s">
        <v>1081</v>
      </c>
    </row>
    <row r="1867" spans="1:1" x14ac:dyDescent="0.25">
      <c r="A1867" t="s">
        <v>296</v>
      </c>
    </row>
    <row r="1868" spans="1:1" x14ac:dyDescent="0.25">
      <c r="A1868" t="s">
        <v>1079</v>
      </c>
    </row>
    <row r="1869" spans="1:1" x14ac:dyDescent="0.25">
      <c r="A1869">
        <v>1636</v>
      </c>
    </row>
    <row r="1870" spans="1:1" x14ac:dyDescent="0.25">
      <c r="A1870">
        <v>118</v>
      </c>
    </row>
    <row r="1871" spans="1:1" x14ac:dyDescent="0.25">
      <c r="A1871">
        <v>183</v>
      </c>
    </row>
    <row r="1872" spans="1:1" x14ac:dyDescent="0.25">
      <c r="A1872">
        <v>181</v>
      </c>
    </row>
    <row r="1873" spans="1:1" x14ac:dyDescent="0.25">
      <c r="A1873">
        <v>2</v>
      </c>
    </row>
    <row r="1874" spans="1:1" x14ac:dyDescent="0.25">
      <c r="A1874">
        <v>190</v>
      </c>
    </row>
    <row r="1875" spans="1:1" x14ac:dyDescent="0.25">
      <c r="A1875" t="s">
        <v>1082</v>
      </c>
    </row>
    <row r="1876" spans="1:1" x14ac:dyDescent="0.25">
      <c r="A1876" t="s">
        <v>297</v>
      </c>
    </row>
    <row r="1877" spans="1:1" x14ac:dyDescent="0.25">
      <c r="A1877" t="s">
        <v>826</v>
      </c>
    </row>
    <row r="1878" spans="1:1" x14ac:dyDescent="0.25">
      <c r="A1878">
        <v>1348</v>
      </c>
    </row>
    <row r="1879" spans="1:1" x14ac:dyDescent="0.25">
      <c r="A1879">
        <v>136</v>
      </c>
    </row>
    <row r="1880" spans="1:1" x14ac:dyDescent="0.25">
      <c r="A1880">
        <v>112</v>
      </c>
    </row>
    <row r="1881" spans="1:1" x14ac:dyDescent="0.25">
      <c r="A1881">
        <v>146</v>
      </c>
    </row>
    <row r="1882" spans="1:1" x14ac:dyDescent="0.25">
      <c r="A1882">
        <v>2</v>
      </c>
    </row>
    <row r="1883" spans="1:1" x14ac:dyDescent="0.25">
      <c r="A1883">
        <v>191</v>
      </c>
    </row>
    <row r="1884" spans="1:1" x14ac:dyDescent="0.25">
      <c r="A1884" t="s">
        <v>1083</v>
      </c>
    </row>
    <row r="1885" spans="1:1" x14ac:dyDescent="0.25">
      <c r="A1885" t="s">
        <v>298</v>
      </c>
    </row>
    <row r="1886" spans="1:1" x14ac:dyDescent="0.25">
      <c r="A1886" t="s">
        <v>988</v>
      </c>
    </row>
    <row r="1887" spans="1:1" x14ac:dyDescent="0.25">
      <c r="A1887">
        <v>395</v>
      </c>
    </row>
    <row r="1888" spans="1:1" x14ac:dyDescent="0.25">
      <c r="A1888">
        <v>55</v>
      </c>
    </row>
    <row r="1889" spans="1:1" x14ac:dyDescent="0.25">
      <c r="A1889">
        <v>55</v>
      </c>
    </row>
    <row r="1890" spans="1:1" x14ac:dyDescent="0.25">
      <c r="A1890">
        <v>102</v>
      </c>
    </row>
    <row r="1891" spans="1:1" x14ac:dyDescent="0.25">
      <c r="A1891">
        <v>2</v>
      </c>
    </row>
    <row r="1892" spans="1:1" x14ac:dyDescent="0.25">
      <c r="A1892">
        <v>192</v>
      </c>
    </row>
    <row r="1893" spans="1:1" x14ac:dyDescent="0.25">
      <c r="A1893" t="s">
        <v>1084</v>
      </c>
    </row>
    <row r="1894" spans="1:1" x14ac:dyDescent="0.25">
      <c r="A1894" t="s">
        <v>299</v>
      </c>
    </row>
    <row r="1895" spans="1:1" x14ac:dyDescent="0.25">
      <c r="A1895" t="s">
        <v>988</v>
      </c>
    </row>
    <row r="1896" spans="1:1" x14ac:dyDescent="0.25">
      <c r="A1896">
        <v>2141</v>
      </c>
    </row>
    <row r="1897" spans="1:1" x14ac:dyDescent="0.25">
      <c r="A1897">
        <v>185</v>
      </c>
    </row>
    <row r="1898" spans="1:1" x14ac:dyDescent="0.25">
      <c r="A1898">
        <v>135</v>
      </c>
    </row>
    <row r="1899" spans="1:1" x14ac:dyDescent="0.25">
      <c r="A1899">
        <v>181</v>
      </c>
    </row>
    <row r="1900" spans="1:1" x14ac:dyDescent="0.25">
      <c r="A1900">
        <v>2</v>
      </c>
    </row>
    <row r="1901" spans="1:1" x14ac:dyDescent="0.25">
      <c r="A1901">
        <v>193</v>
      </c>
    </row>
    <row r="1902" spans="1:1" x14ac:dyDescent="0.25">
      <c r="A1902" t="s">
        <v>1085</v>
      </c>
    </row>
    <row r="1903" spans="1:1" x14ac:dyDescent="0.25">
      <c r="A1903" t="s">
        <v>300</v>
      </c>
    </row>
    <row r="1904" spans="1:1" x14ac:dyDescent="0.25">
      <c r="A1904" t="s">
        <v>816</v>
      </c>
    </row>
    <row r="1905" spans="1:1" x14ac:dyDescent="0.25">
      <c r="A1905">
        <v>1470</v>
      </c>
    </row>
    <row r="1906" spans="1:1" x14ac:dyDescent="0.25">
      <c r="A1906">
        <v>154</v>
      </c>
    </row>
    <row r="1907" spans="1:1" x14ac:dyDescent="0.25">
      <c r="A1907">
        <v>94</v>
      </c>
    </row>
    <row r="1908" spans="1:1" x14ac:dyDescent="0.25">
      <c r="A1908">
        <v>163</v>
      </c>
    </row>
    <row r="1909" spans="1:1" x14ac:dyDescent="0.25">
      <c r="A1909">
        <v>2</v>
      </c>
    </row>
    <row r="1910" spans="1:1" x14ac:dyDescent="0.25">
      <c r="A1910">
        <v>194</v>
      </c>
    </row>
    <row r="1911" spans="1:1" x14ac:dyDescent="0.25">
      <c r="A1911" t="s">
        <v>1086</v>
      </c>
    </row>
    <row r="1912" spans="1:1" x14ac:dyDescent="0.25">
      <c r="A1912" t="s">
        <v>301</v>
      </c>
    </row>
    <row r="1913" spans="1:1" x14ac:dyDescent="0.25">
      <c r="A1913" t="s">
        <v>1087</v>
      </c>
    </row>
    <row r="1914" spans="1:1" x14ac:dyDescent="0.25">
      <c r="A1914">
        <v>641</v>
      </c>
    </row>
    <row r="1915" spans="1:1" x14ac:dyDescent="0.25">
      <c r="A1915">
        <v>75</v>
      </c>
    </row>
    <row r="1916" spans="1:1" x14ac:dyDescent="0.25">
      <c r="A1916">
        <v>66</v>
      </c>
    </row>
    <row r="1917" spans="1:1" x14ac:dyDescent="0.25">
      <c r="A1917">
        <v>146</v>
      </c>
    </row>
    <row r="1918" spans="1:1" x14ac:dyDescent="0.25">
      <c r="A1918">
        <v>2</v>
      </c>
    </row>
    <row r="1919" spans="1:1" x14ac:dyDescent="0.25">
      <c r="A1919">
        <v>195</v>
      </c>
    </row>
    <row r="1920" spans="1:1" x14ac:dyDescent="0.25">
      <c r="A1920" t="s">
        <v>1088</v>
      </c>
    </row>
    <row r="1921" spans="1:1" x14ac:dyDescent="0.25">
      <c r="A1921" t="s">
        <v>302</v>
      </c>
    </row>
    <row r="1922" spans="1:1" x14ac:dyDescent="0.25">
      <c r="A1922" t="s">
        <v>1087</v>
      </c>
    </row>
    <row r="1923" spans="1:1" x14ac:dyDescent="0.25">
      <c r="A1923">
        <v>1992</v>
      </c>
    </row>
    <row r="1924" spans="1:1" x14ac:dyDescent="0.25">
      <c r="A1924">
        <v>152</v>
      </c>
    </row>
    <row r="1925" spans="1:1" x14ac:dyDescent="0.25">
      <c r="A1925">
        <v>143</v>
      </c>
    </row>
    <row r="1926" spans="1:1" x14ac:dyDescent="0.25">
      <c r="A1926">
        <v>216</v>
      </c>
    </row>
    <row r="1927" spans="1:1" x14ac:dyDescent="0.25">
      <c r="A1927">
        <v>2</v>
      </c>
    </row>
    <row r="1928" spans="1:1" x14ac:dyDescent="0.25">
      <c r="A1928">
        <v>196</v>
      </c>
    </row>
    <row r="1929" spans="1:1" x14ac:dyDescent="0.25">
      <c r="A1929" t="s">
        <v>1089</v>
      </c>
    </row>
    <row r="1930" spans="1:1" x14ac:dyDescent="0.25">
      <c r="A1930" t="s">
        <v>518</v>
      </c>
    </row>
    <row r="1931" spans="1:1" x14ac:dyDescent="0.25">
      <c r="A1931" t="s">
        <v>910</v>
      </c>
    </row>
    <row r="1932" spans="1:1" x14ac:dyDescent="0.25">
      <c r="A1932">
        <v>3170</v>
      </c>
    </row>
    <row r="1933" spans="1:1" x14ac:dyDescent="0.25">
      <c r="A1933">
        <v>261</v>
      </c>
    </row>
    <row r="1934" spans="1:1" x14ac:dyDescent="0.25">
      <c r="A1934">
        <v>175</v>
      </c>
    </row>
    <row r="1935" spans="1:1" x14ac:dyDescent="0.25">
      <c r="A1935">
        <v>163</v>
      </c>
    </row>
    <row r="1936" spans="1:1" x14ac:dyDescent="0.25">
      <c r="A1936">
        <v>2</v>
      </c>
    </row>
    <row r="1937" spans="1:1" x14ac:dyDescent="0.25">
      <c r="A1937">
        <v>197</v>
      </c>
    </row>
    <row r="1938" spans="1:1" x14ac:dyDescent="0.25">
      <c r="A1938" t="s">
        <v>1090</v>
      </c>
    </row>
    <row r="1939" spans="1:1" x14ac:dyDescent="0.25">
      <c r="A1939" t="s">
        <v>519</v>
      </c>
    </row>
    <row r="1940" spans="1:1" x14ac:dyDescent="0.25">
      <c r="A1940" t="s">
        <v>894</v>
      </c>
    </row>
    <row r="1941" spans="1:1" x14ac:dyDescent="0.25">
      <c r="A1941">
        <v>2137</v>
      </c>
    </row>
    <row r="1942" spans="1:1" x14ac:dyDescent="0.25">
      <c r="A1942">
        <v>126</v>
      </c>
    </row>
    <row r="1943" spans="1:1" x14ac:dyDescent="0.25">
      <c r="A1943">
        <v>240</v>
      </c>
    </row>
    <row r="1944" spans="1:1" x14ac:dyDescent="0.25">
      <c r="A1944">
        <v>216</v>
      </c>
    </row>
    <row r="1945" spans="1:1" x14ac:dyDescent="0.25">
      <c r="A1945">
        <v>2</v>
      </c>
    </row>
    <row r="1946" spans="1:1" x14ac:dyDescent="0.25">
      <c r="A1946">
        <v>198</v>
      </c>
    </row>
    <row r="1947" spans="1:1" x14ac:dyDescent="0.25">
      <c r="A1947" t="s">
        <v>1091</v>
      </c>
    </row>
    <row r="1948" spans="1:1" x14ac:dyDescent="0.25">
      <c r="A1948" t="s">
        <v>303</v>
      </c>
    </row>
    <row r="1949" spans="1:1" x14ac:dyDescent="0.25">
      <c r="A1949" t="s">
        <v>1092</v>
      </c>
    </row>
    <row r="1950" spans="1:1" x14ac:dyDescent="0.25">
      <c r="A1950">
        <v>1562</v>
      </c>
    </row>
    <row r="1951" spans="1:1" x14ac:dyDescent="0.25">
      <c r="A1951">
        <v>175</v>
      </c>
    </row>
    <row r="1952" spans="1:1" x14ac:dyDescent="0.25">
      <c r="A1952">
        <v>87</v>
      </c>
    </row>
    <row r="1953" spans="1:1" x14ac:dyDescent="0.25">
      <c r="A1953">
        <v>155</v>
      </c>
    </row>
    <row r="1954" spans="1:1" x14ac:dyDescent="0.25">
      <c r="A1954">
        <v>2</v>
      </c>
    </row>
    <row r="1955" spans="1:1" x14ac:dyDescent="0.25">
      <c r="A1955">
        <v>199</v>
      </c>
    </row>
    <row r="1956" spans="1:1" x14ac:dyDescent="0.25">
      <c r="A1956" t="s">
        <v>1093</v>
      </c>
    </row>
    <row r="1957" spans="1:1" x14ac:dyDescent="0.25">
      <c r="A1957" t="s">
        <v>304</v>
      </c>
    </row>
    <row r="1958" spans="1:1" x14ac:dyDescent="0.25">
      <c r="A1958" t="s">
        <v>936</v>
      </c>
    </row>
    <row r="1959" spans="1:1" x14ac:dyDescent="0.25">
      <c r="A1959">
        <v>2545</v>
      </c>
    </row>
    <row r="1960" spans="1:1" x14ac:dyDescent="0.25">
      <c r="A1960">
        <v>177</v>
      </c>
    </row>
    <row r="1961" spans="1:1" x14ac:dyDescent="0.25">
      <c r="A1961">
        <v>180</v>
      </c>
    </row>
    <row r="1962" spans="1:1" x14ac:dyDescent="0.25">
      <c r="A1962">
        <v>216</v>
      </c>
    </row>
    <row r="1963" spans="1:1" x14ac:dyDescent="0.25">
      <c r="A1963">
        <v>2</v>
      </c>
    </row>
    <row r="1964" spans="1:1" x14ac:dyDescent="0.25">
      <c r="A1964">
        <v>200</v>
      </c>
    </row>
    <row r="1965" spans="1:1" x14ac:dyDescent="0.25">
      <c r="A1965" t="s">
        <v>1094</v>
      </c>
    </row>
    <row r="1966" spans="1:1" x14ac:dyDescent="0.25">
      <c r="A1966" t="s">
        <v>305</v>
      </c>
    </row>
    <row r="1967" spans="1:1" x14ac:dyDescent="0.25">
      <c r="A1967" t="s">
        <v>1095</v>
      </c>
    </row>
    <row r="1968" spans="1:1" x14ac:dyDescent="0.25">
      <c r="A1968">
        <v>1926</v>
      </c>
    </row>
    <row r="1969" spans="1:1" x14ac:dyDescent="0.25">
      <c r="A1969">
        <v>167</v>
      </c>
    </row>
    <row r="1970" spans="1:1" x14ac:dyDescent="0.25">
      <c r="A1970">
        <v>154</v>
      </c>
    </row>
    <row r="1971" spans="1:1" x14ac:dyDescent="0.25">
      <c r="A1971">
        <v>155</v>
      </c>
    </row>
    <row r="1972" spans="1:1" x14ac:dyDescent="0.25">
      <c r="A1972">
        <v>2</v>
      </c>
    </row>
    <row r="1973" spans="1:1" x14ac:dyDescent="0.25">
      <c r="A1973">
        <v>201</v>
      </c>
    </row>
    <row r="1974" spans="1:1" x14ac:dyDescent="0.25">
      <c r="A1974" t="s">
        <v>1096</v>
      </c>
    </row>
    <row r="1975" spans="1:1" x14ac:dyDescent="0.25">
      <c r="A1975" t="s">
        <v>520</v>
      </c>
    </row>
    <row r="1976" spans="1:1" x14ac:dyDescent="0.25">
      <c r="A1976" t="s">
        <v>910</v>
      </c>
    </row>
    <row r="1977" spans="1:1" x14ac:dyDescent="0.25">
      <c r="A1977">
        <v>1185</v>
      </c>
    </row>
    <row r="1978" spans="1:1" x14ac:dyDescent="0.25">
      <c r="A1978">
        <v>136</v>
      </c>
    </row>
    <row r="1979" spans="1:1" x14ac:dyDescent="0.25">
      <c r="A1979">
        <v>91</v>
      </c>
    </row>
    <row r="1980" spans="1:1" x14ac:dyDescent="0.25">
      <c r="A1980">
        <v>134</v>
      </c>
    </row>
    <row r="1981" spans="1:1" x14ac:dyDescent="0.25">
      <c r="A1981">
        <v>2</v>
      </c>
    </row>
    <row r="1982" spans="1:1" x14ac:dyDescent="0.25">
      <c r="A1982">
        <v>202</v>
      </c>
    </row>
    <row r="1983" spans="1:1" x14ac:dyDescent="0.25">
      <c r="A1983" t="s">
        <v>1097</v>
      </c>
    </row>
    <row r="1984" spans="1:1" x14ac:dyDescent="0.25">
      <c r="A1984" t="s">
        <v>306</v>
      </c>
    </row>
    <row r="1985" spans="1:1" x14ac:dyDescent="0.25">
      <c r="A1985" t="s">
        <v>910</v>
      </c>
    </row>
    <row r="1986" spans="1:1" x14ac:dyDescent="0.25">
      <c r="A1986">
        <v>1026</v>
      </c>
    </row>
    <row r="1987" spans="1:1" x14ac:dyDescent="0.25">
      <c r="A1987">
        <v>60</v>
      </c>
    </row>
    <row r="1988" spans="1:1" x14ac:dyDescent="0.25">
      <c r="A1988">
        <v>106</v>
      </c>
    </row>
    <row r="1989" spans="1:1" x14ac:dyDescent="0.25">
      <c r="A1989">
        <v>382</v>
      </c>
    </row>
    <row r="1990" spans="1:1" x14ac:dyDescent="0.25">
      <c r="A1990">
        <v>2</v>
      </c>
    </row>
    <row r="1991" spans="1:1" x14ac:dyDescent="0.25">
      <c r="A1991">
        <v>203</v>
      </c>
    </row>
    <row r="1992" spans="1:1" x14ac:dyDescent="0.25">
      <c r="A1992" t="s">
        <v>1098</v>
      </c>
    </row>
    <row r="1993" spans="1:1" x14ac:dyDescent="0.25">
      <c r="A1993" t="s">
        <v>307</v>
      </c>
    </row>
    <row r="1994" spans="1:1" x14ac:dyDescent="0.25">
      <c r="A1994" t="s">
        <v>1099</v>
      </c>
    </row>
    <row r="1995" spans="1:1" x14ac:dyDescent="0.25">
      <c r="A1995">
        <v>2046</v>
      </c>
    </row>
    <row r="1996" spans="1:1" x14ac:dyDescent="0.25">
      <c r="A1996">
        <v>182</v>
      </c>
    </row>
    <row r="1997" spans="1:1" x14ac:dyDescent="0.25">
      <c r="A1997">
        <v>133</v>
      </c>
    </row>
    <row r="1998" spans="1:1" x14ac:dyDescent="0.25">
      <c r="A1998">
        <v>172</v>
      </c>
    </row>
    <row r="1999" spans="1:1" x14ac:dyDescent="0.25">
      <c r="A1999">
        <v>2</v>
      </c>
    </row>
    <row r="2000" spans="1:1" x14ac:dyDescent="0.25">
      <c r="A2000">
        <v>204</v>
      </c>
    </row>
    <row r="2001" spans="1:1" x14ac:dyDescent="0.25">
      <c r="A2001" t="s">
        <v>1100</v>
      </c>
    </row>
    <row r="2002" spans="1:1" x14ac:dyDescent="0.25">
      <c r="A2002" t="s">
        <v>521</v>
      </c>
    </row>
    <row r="2003" spans="1:1" x14ac:dyDescent="0.25">
      <c r="A2003" t="s">
        <v>813</v>
      </c>
    </row>
    <row r="2004" spans="1:1" x14ac:dyDescent="0.25">
      <c r="A2004">
        <v>1108</v>
      </c>
    </row>
    <row r="2005" spans="1:1" x14ac:dyDescent="0.25">
      <c r="A2005">
        <v>108</v>
      </c>
    </row>
    <row r="2006" spans="1:1" x14ac:dyDescent="0.25">
      <c r="A2006">
        <v>122</v>
      </c>
    </row>
    <row r="2007" spans="1:1" x14ac:dyDescent="0.25">
      <c r="A2007">
        <v>137</v>
      </c>
    </row>
    <row r="2008" spans="1:1" x14ac:dyDescent="0.25">
      <c r="A2008">
        <v>2</v>
      </c>
    </row>
    <row r="2009" spans="1:1" x14ac:dyDescent="0.25">
      <c r="A2009">
        <v>205</v>
      </c>
    </row>
    <row r="2010" spans="1:1" x14ac:dyDescent="0.25">
      <c r="A2010" t="s">
        <v>1101</v>
      </c>
    </row>
    <row r="2011" spans="1:1" x14ac:dyDescent="0.25">
      <c r="A2011" t="s">
        <v>522</v>
      </c>
    </row>
    <row r="2012" spans="1:1" x14ac:dyDescent="0.25">
      <c r="A2012" t="s">
        <v>1102</v>
      </c>
    </row>
    <row r="2013" spans="1:1" x14ac:dyDescent="0.25">
      <c r="A2013">
        <v>2282</v>
      </c>
    </row>
    <row r="2014" spans="1:1" x14ac:dyDescent="0.25">
      <c r="A2014">
        <v>161</v>
      </c>
    </row>
    <row r="2015" spans="1:1" x14ac:dyDescent="0.25">
      <c r="A2015">
        <v>205</v>
      </c>
    </row>
    <row r="2016" spans="1:1" x14ac:dyDescent="0.25">
      <c r="A2016">
        <v>181</v>
      </c>
    </row>
    <row r="2017" spans="1:1" x14ac:dyDescent="0.25">
      <c r="A2017">
        <v>2</v>
      </c>
    </row>
    <row r="2018" spans="1:1" x14ac:dyDescent="0.25">
      <c r="A2018">
        <v>206</v>
      </c>
    </row>
    <row r="2019" spans="1:1" x14ac:dyDescent="0.25">
      <c r="A2019" t="s">
        <v>1103</v>
      </c>
    </row>
    <row r="2020" spans="1:1" x14ac:dyDescent="0.25">
      <c r="A2020" t="s">
        <v>308</v>
      </c>
    </row>
    <row r="2021" spans="1:1" x14ac:dyDescent="0.25">
      <c r="A2021" t="s">
        <v>826</v>
      </c>
    </row>
    <row r="2022" spans="1:1" x14ac:dyDescent="0.25">
      <c r="A2022">
        <v>1689</v>
      </c>
    </row>
    <row r="2023" spans="1:1" x14ac:dyDescent="0.25">
      <c r="A2023">
        <v>131</v>
      </c>
    </row>
    <row r="2024" spans="1:1" x14ac:dyDescent="0.25">
      <c r="A2024">
        <v>128</v>
      </c>
    </row>
    <row r="2025" spans="1:1" x14ac:dyDescent="0.25">
      <c r="A2025">
        <v>225</v>
      </c>
    </row>
    <row r="2026" spans="1:1" x14ac:dyDescent="0.25">
      <c r="A2026">
        <v>2</v>
      </c>
    </row>
    <row r="2027" spans="1:1" x14ac:dyDescent="0.25">
      <c r="A2027">
        <v>207</v>
      </c>
    </row>
    <row r="2028" spans="1:1" x14ac:dyDescent="0.25">
      <c r="A2028" t="s">
        <v>1104</v>
      </c>
    </row>
    <row r="2029" spans="1:1" x14ac:dyDescent="0.25">
      <c r="A2029" t="s">
        <v>523</v>
      </c>
    </row>
    <row r="2030" spans="1:1" x14ac:dyDescent="0.25">
      <c r="A2030" t="s">
        <v>1105</v>
      </c>
    </row>
    <row r="2031" spans="1:1" x14ac:dyDescent="0.25">
      <c r="A2031">
        <v>1857</v>
      </c>
    </row>
    <row r="2032" spans="1:1" x14ac:dyDescent="0.25">
      <c r="A2032">
        <v>143</v>
      </c>
    </row>
    <row r="2033" spans="1:1" x14ac:dyDescent="0.25">
      <c r="A2033">
        <v>184</v>
      </c>
    </row>
    <row r="2034" spans="1:1" x14ac:dyDescent="0.25">
      <c r="A2034">
        <v>163</v>
      </c>
    </row>
    <row r="2035" spans="1:1" x14ac:dyDescent="0.25">
      <c r="A2035">
        <v>2</v>
      </c>
    </row>
    <row r="2036" spans="1:1" x14ac:dyDescent="0.25">
      <c r="A2036">
        <v>208</v>
      </c>
    </row>
    <row r="2037" spans="1:1" x14ac:dyDescent="0.25">
      <c r="A2037" t="s">
        <v>1106</v>
      </c>
    </row>
    <row r="2038" spans="1:1" x14ac:dyDescent="0.25">
      <c r="A2038" t="s">
        <v>524</v>
      </c>
    </row>
    <row r="2039" spans="1:1" x14ac:dyDescent="0.25">
      <c r="A2039" t="s">
        <v>1107</v>
      </c>
    </row>
    <row r="2040" spans="1:1" x14ac:dyDescent="0.25">
      <c r="A2040">
        <v>2414</v>
      </c>
    </row>
    <row r="2041" spans="1:1" x14ac:dyDescent="0.25">
      <c r="A2041">
        <v>148</v>
      </c>
    </row>
    <row r="2042" spans="1:1" x14ac:dyDescent="0.25">
      <c r="A2042">
        <v>272</v>
      </c>
    </row>
    <row r="2043" spans="1:1" x14ac:dyDescent="0.25">
      <c r="A2043">
        <v>181</v>
      </c>
    </row>
    <row r="2044" spans="1:1" x14ac:dyDescent="0.25">
      <c r="A2044">
        <v>2</v>
      </c>
    </row>
    <row r="2045" spans="1:1" x14ac:dyDescent="0.25">
      <c r="A2045">
        <v>209</v>
      </c>
    </row>
    <row r="2046" spans="1:1" x14ac:dyDescent="0.25">
      <c r="A2046" t="s">
        <v>1108</v>
      </c>
    </row>
    <row r="2047" spans="1:1" x14ac:dyDescent="0.25">
      <c r="A2047" t="s">
        <v>309</v>
      </c>
    </row>
    <row r="2048" spans="1:1" x14ac:dyDescent="0.25">
      <c r="A2048" t="s">
        <v>860</v>
      </c>
    </row>
    <row r="2049" spans="1:1" x14ac:dyDescent="0.25">
      <c r="A2049">
        <v>1237</v>
      </c>
    </row>
    <row r="2050" spans="1:1" x14ac:dyDescent="0.25">
      <c r="A2050">
        <v>137</v>
      </c>
    </row>
    <row r="2051" spans="1:1" x14ac:dyDescent="0.25">
      <c r="A2051">
        <v>85</v>
      </c>
    </row>
    <row r="2052" spans="1:1" x14ac:dyDescent="0.25">
      <c r="A2052">
        <v>155</v>
      </c>
    </row>
    <row r="2053" spans="1:1" x14ac:dyDescent="0.25">
      <c r="A2053">
        <v>2</v>
      </c>
    </row>
    <row r="2054" spans="1:1" x14ac:dyDescent="0.25">
      <c r="A2054">
        <v>210</v>
      </c>
    </row>
    <row r="2055" spans="1:1" x14ac:dyDescent="0.25">
      <c r="A2055" t="s">
        <v>1109</v>
      </c>
    </row>
    <row r="2056" spans="1:1" x14ac:dyDescent="0.25">
      <c r="A2056" t="s">
        <v>310</v>
      </c>
    </row>
    <row r="2057" spans="1:1" x14ac:dyDescent="0.25">
      <c r="A2057" t="s">
        <v>860</v>
      </c>
    </row>
    <row r="2058" spans="1:1" x14ac:dyDescent="0.25">
      <c r="A2058">
        <v>2552</v>
      </c>
    </row>
    <row r="2059" spans="1:1" x14ac:dyDescent="0.25">
      <c r="A2059">
        <v>212</v>
      </c>
    </row>
    <row r="2060" spans="1:1" x14ac:dyDescent="0.25">
      <c r="A2060">
        <v>131</v>
      </c>
    </row>
    <row r="2061" spans="1:1" x14ac:dyDescent="0.25">
      <c r="A2061">
        <v>207</v>
      </c>
    </row>
    <row r="2062" spans="1:1" x14ac:dyDescent="0.25">
      <c r="A2062">
        <v>2</v>
      </c>
    </row>
    <row r="2063" spans="1:1" x14ac:dyDescent="0.25">
      <c r="A2063">
        <v>211</v>
      </c>
    </row>
    <row r="2064" spans="1:1" x14ac:dyDescent="0.25">
      <c r="A2064" t="s">
        <v>1110</v>
      </c>
    </row>
    <row r="2065" spans="1:1" x14ac:dyDescent="0.25">
      <c r="A2065" t="s">
        <v>660</v>
      </c>
    </row>
    <row r="2066" spans="1:1" x14ac:dyDescent="0.25">
      <c r="A2066" t="s">
        <v>920</v>
      </c>
    </row>
    <row r="2067" spans="1:1" x14ac:dyDescent="0.25">
      <c r="A2067">
        <v>2051</v>
      </c>
    </row>
    <row r="2068" spans="1:1" x14ac:dyDescent="0.25">
      <c r="A2068">
        <v>184</v>
      </c>
    </row>
    <row r="2069" spans="1:1" x14ac:dyDescent="0.25">
      <c r="A2069">
        <v>138</v>
      </c>
    </row>
    <row r="2070" spans="1:1" x14ac:dyDescent="0.25">
      <c r="A2070">
        <v>163</v>
      </c>
    </row>
    <row r="2071" spans="1:1" x14ac:dyDescent="0.25">
      <c r="A2071">
        <v>2</v>
      </c>
    </row>
    <row r="2072" spans="1:1" x14ac:dyDescent="0.25">
      <c r="A2072">
        <v>212</v>
      </c>
    </row>
    <row r="2073" spans="1:1" x14ac:dyDescent="0.25">
      <c r="A2073" t="s">
        <v>1111</v>
      </c>
    </row>
    <row r="2074" spans="1:1" x14ac:dyDescent="0.25">
      <c r="A2074" t="s">
        <v>525</v>
      </c>
    </row>
    <row r="2075" spans="1:1" x14ac:dyDescent="0.25">
      <c r="A2075" t="s">
        <v>1102</v>
      </c>
    </row>
    <row r="2076" spans="1:1" x14ac:dyDescent="0.25">
      <c r="A2076">
        <v>3001</v>
      </c>
    </row>
    <row r="2077" spans="1:1" x14ac:dyDescent="0.25">
      <c r="A2077">
        <v>236</v>
      </c>
    </row>
    <row r="2078" spans="1:1" x14ac:dyDescent="0.25">
      <c r="A2078">
        <v>181</v>
      </c>
    </row>
    <row r="2079" spans="1:1" x14ac:dyDescent="0.25">
      <c r="A2079">
        <v>172</v>
      </c>
    </row>
    <row r="2080" spans="1:1" x14ac:dyDescent="0.25">
      <c r="A2080">
        <v>2</v>
      </c>
    </row>
    <row r="2081" spans="1:1" x14ac:dyDescent="0.25">
      <c r="A2081">
        <v>213</v>
      </c>
    </row>
    <row r="2082" spans="1:1" x14ac:dyDescent="0.25">
      <c r="A2082" t="s">
        <v>1112</v>
      </c>
    </row>
    <row r="2083" spans="1:1" x14ac:dyDescent="0.25">
      <c r="A2083" t="s">
        <v>311</v>
      </c>
    </row>
    <row r="2084" spans="1:1" x14ac:dyDescent="0.25">
      <c r="A2084" t="s">
        <v>1113</v>
      </c>
    </row>
    <row r="2085" spans="1:1" x14ac:dyDescent="0.25">
      <c r="A2085">
        <v>405</v>
      </c>
    </row>
    <row r="2086" spans="1:1" x14ac:dyDescent="0.25">
      <c r="A2086">
        <v>17</v>
      </c>
    </row>
    <row r="2087" spans="1:1" x14ac:dyDescent="0.25">
      <c r="A2087">
        <v>396</v>
      </c>
    </row>
    <row r="2088" spans="1:1" x14ac:dyDescent="0.25">
      <c r="A2088">
        <v>85</v>
      </c>
    </row>
    <row r="2089" spans="1:1" x14ac:dyDescent="0.25">
      <c r="A2089">
        <v>2</v>
      </c>
    </row>
    <row r="2090" spans="1:1" x14ac:dyDescent="0.25">
      <c r="A2090">
        <v>214</v>
      </c>
    </row>
    <row r="2091" spans="1:1" x14ac:dyDescent="0.25">
      <c r="A2091" t="s">
        <v>1114</v>
      </c>
    </row>
    <row r="2092" spans="1:1" x14ac:dyDescent="0.25">
      <c r="A2092" t="s">
        <v>312</v>
      </c>
    </row>
    <row r="2093" spans="1:1" x14ac:dyDescent="0.25">
      <c r="A2093" t="s">
        <v>1115</v>
      </c>
    </row>
    <row r="2094" spans="1:1" x14ac:dyDescent="0.25">
      <c r="A2094">
        <v>3101</v>
      </c>
    </row>
    <row r="2095" spans="1:1" x14ac:dyDescent="0.25">
      <c r="A2095">
        <v>234</v>
      </c>
    </row>
    <row r="2096" spans="1:1" x14ac:dyDescent="0.25">
      <c r="A2096">
        <v>179</v>
      </c>
    </row>
    <row r="2097" spans="1:1" x14ac:dyDescent="0.25">
      <c r="A2097">
        <v>190</v>
      </c>
    </row>
    <row r="2098" spans="1:1" x14ac:dyDescent="0.25">
      <c r="A2098">
        <v>2</v>
      </c>
    </row>
    <row r="2099" spans="1:1" x14ac:dyDescent="0.25">
      <c r="A2099">
        <v>215</v>
      </c>
    </row>
    <row r="2100" spans="1:1" x14ac:dyDescent="0.25">
      <c r="A2100" t="s">
        <v>1116</v>
      </c>
    </row>
    <row r="2101" spans="1:1" x14ac:dyDescent="0.25">
      <c r="A2101" t="s">
        <v>313</v>
      </c>
    </row>
    <row r="2102" spans="1:1" x14ac:dyDescent="0.25">
      <c r="A2102" t="s">
        <v>1117</v>
      </c>
    </row>
    <row r="2103" spans="1:1" x14ac:dyDescent="0.25">
      <c r="A2103">
        <v>2051</v>
      </c>
    </row>
    <row r="2104" spans="1:1" x14ac:dyDescent="0.25">
      <c r="A2104">
        <v>189</v>
      </c>
    </row>
    <row r="2105" spans="1:1" x14ac:dyDescent="0.25">
      <c r="A2105">
        <v>146</v>
      </c>
    </row>
    <row r="2106" spans="1:1" x14ac:dyDescent="0.25">
      <c r="A2106">
        <v>146</v>
      </c>
    </row>
    <row r="2107" spans="1:1" x14ac:dyDescent="0.25">
      <c r="A2107">
        <v>2</v>
      </c>
    </row>
    <row r="2108" spans="1:1" x14ac:dyDescent="0.25">
      <c r="A2108">
        <v>216</v>
      </c>
    </row>
    <row r="2109" spans="1:1" x14ac:dyDescent="0.25">
      <c r="A2109" t="s">
        <v>1118</v>
      </c>
    </row>
    <row r="2110" spans="1:1" x14ac:dyDescent="0.25">
      <c r="A2110" t="s">
        <v>314</v>
      </c>
    </row>
    <row r="2111" spans="1:1" x14ac:dyDescent="0.25">
      <c r="A2111" t="s">
        <v>826</v>
      </c>
    </row>
    <row r="2112" spans="1:1" x14ac:dyDescent="0.25">
      <c r="A2112">
        <v>1328</v>
      </c>
    </row>
    <row r="2113" spans="1:1" x14ac:dyDescent="0.25">
      <c r="A2113">
        <v>142</v>
      </c>
    </row>
    <row r="2114" spans="1:1" x14ac:dyDescent="0.25">
      <c r="A2114">
        <v>93</v>
      </c>
    </row>
    <row r="2115" spans="1:1" x14ac:dyDescent="0.25">
      <c r="A2115">
        <v>155</v>
      </c>
    </row>
    <row r="2116" spans="1:1" x14ac:dyDescent="0.25">
      <c r="A2116">
        <v>2</v>
      </c>
    </row>
    <row r="2117" spans="1:1" x14ac:dyDescent="0.25">
      <c r="A2117">
        <v>217</v>
      </c>
    </row>
    <row r="2118" spans="1:1" x14ac:dyDescent="0.25">
      <c r="A2118" t="s">
        <v>1119</v>
      </c>
    </row>
    <row r="2119" spans="1:1" x14ac:dyDescent="0.25">
      <c r="A2119" t="s">
        <v>315</v>
      </c>
    </row>
    <row r="2120" spans="1:1" x14ac:dyDescent="0.25">
      <c r="A2120" t="s">
        <v>826</v>
      </c>
    </row>
    <row r="2121" spans="1:1" x14ac:dyDescent="0.25">
      <c r="A2121">
        <v>2945</v>
      </c>
    </row>
    <row r="2122" spans="1:1" x14ac:dyDescent="0.25">
      <c r="A2122">
        <v>236</v>
      </c>
    </row>
    <row r="2123" spans="1:1" x14ac:dyDescent="0.25">
      <c r="A2123">
        <v>144</v>
      </c>
    </row>
    <row r="2124" spans="1:1" x14ac:dyDescent="0.25">
      <c r="A2124">
        <v>207</v>
      </c>
    </row>
    <row r="2125" spans="1:1" x14ac:dyDescent="0.25">
      <c r="A2125">
        <v>2</v>
      </c>
    </row>
    <row r="2126" spans="1:1" x14ac:dyDescent="0.25">
      <c r="A2126">
        <v>218</v>
      </c>
    </row>
    <row r="2127" spans="1:1" x14ac:dyDescent="0.25">
      <c r="A2127" t="s">
        <v>1120</v>
      </c>
    </row>
    <row r="2128" spans="1:1" x14ac:dyDescent="0.25">
      <c r="A2128" t="s">
        <v>128</v>
      </c>
    </row>
    <row r="2129" spans="1:1" x14ac:dyDescent="0.25">
      <c r="A2129" t="s">
        <v>804</v>
      </c>
    </row>
    <row r="2130" spans="1:1" x14ac:dyDescent="0.25">
      <c r="A2130">
        <v>895</v>
      </c>
    </row>
    <row r="2131" spans="1:1" x14ac:dyDescent="0.25">
      <c r="A2131">
        <v>118</v>
      </c>
    </row>
    <row r="2132" spans="1:1" x14ac:dyDescent="0.25">
      <c r="A2132">
        <v>71</v>
      </c>
    </row>
    <row r="2133" spans="1:1" x14ac:dyDescent="0.25">
      <c r="A2133">
        <v>120</v>
      </c>
    </row>
    <row r="2134" spans="1:1" x14ac:dyDescent="0.25">
      <c r="A2134">
        <v>2</v>
      </c>
    </row>
    <row r="2135" spans="1:1" x14ac:dyDescent="0.25">
      <c r="A2135">
        <v>219</v>
      </c>
    </row>
    <row r="2136" spans="1:1" x14ac:dyDescent="0.25">
      <c r="A2136" t="s">
        <v>1121</v>
      </c>
    </row>
    <row r="2137" spans="1:1" x14ac:dyDescent="0.25">
      <c r="A2137" t="s">
        <v>129</v>
      </c>
    </row>
    <row r="2138" spans="1:1" x14ac:dyDescent="0.25">
      <c r="A2138" t="s">
        <v>1122</v>
      </c>
    </row>
    <row r="2139" spans="1:1" x14ac:dyDescent="0.25">
      <c r="A2139">
        <v>1702</v>
      </c>
    </row>
    <row r="2140" spans="1:1" x14ac:dyDescent="0.25">
      <c r="A2140">
        <v>139</v>
      </c>
    </row>
    <row r="2141" spans="1:1" x14ac:dyDescent="0.25">
      <c r="A2141">
        <v>191</v>
      </c>
    </row>
    <row r="2142" spans="1:1" x14ac:dyDescent="0.25">
      <c r="A2142">
        <v>137</v>
      </c>
    </row>
    <row r="2143" spans="1:1" x14ac:dyDescent="0.25">
      <c r="A2143">
        <v>2</v>
      </c>
    </row>
    <row r="2144" spans="1:1" x14ac:dyDescent="0.25">
      <c r="A2144">
        <v>220</v>
      </c>
    </row>
    <row r="2145" spans="1:1" x14ac:dyDescent="0.25">
      <c r="A2145" t="s">
        <v>1123</v>
      </c>
    </row>
    <row r="2146" spans="1:1" x14ac:dyDescent="0.25">
      <c r="A2146" t="s">
        <v>316</v>
      </c>
    </row>
    <row r="2147" spans="1:1" x14ac:dyDescent="0.25">
      <c r="A2147" t="s">
        <v>1124</v>
      </c>
    </row>
    <row r="2148" spans="1:1" x14ac:dyDescent="0.25">
      <c r="A2148">
        <v>741</v>
      </c>
    </row>
    <row r="2149" spans="1:1" x14ac:dyDescent="0.25">
      <c r="A2149">
        <v>90</v>
      </c>
    </row>
    <row r="2150" spans="1:1" x14ac:dyDescent="0.25">
      <c r="A2150">
        <v>69</v>
      </c>
    </row>
    <row r="2151" spans="1:1" x14ac:dyDescent="0.25">
      <c r="A2151">
        <v>137</v>
      </c>
    </row>
    <row r="2152" spans="1:1" x14ac:dyDescent="0.25">
      <c r="A2152">
        <v>2</v>
      </c>
    </row>
    <row r="2153" spans="1:1" x14ac:dyDescent="0.25">
      <c r="A2153">
        <v>221</v>
      </c>
    </row>
    <row r="2154" spans="1:1" x14ac:dyDescent="0.25">
      <c r="A2154" t="s">
        <v>1125</v>
      </c>
    </row>
    <row r="2155" spans="1:1" x14ac:dyDescent="0.25">
      <c r="A2155" t="s">
        <v>317</v>
      </c>
    </row>
    <row r="2156" spans="1:1" x14ac:dyDescent="0.25">
      <c r="A2156" t="s">
        <v>1124</v>
      </c>
    </row>
    <row r="2157" spans="1:1" x14ac:dyDescent="0.25">
      <c r="A2157">
        <v>2345</v>
      </c>
    </row>
    <row r="2158" spans="1:1" x14ac:dyDescent="0.25">
      <c r="A2158">
        <v>181</v>
      </c>
    </row>
    <row r="2159" spans="1:1" x14ac:dyDescent="0.25">
      <c r="A2159">
        <v>138</v>
      </c>
    </row>
    <row r="2160" spans="1:1" x14ac:dyDescent="0.25">
      <c r="A2160">
        <v>225</v>
      </c>
    </row>
    <row r="2161" spans="1:1" x14ac:dyDescent="0.25">
      <c r="A2161">
        <v>2</v>
      </c>
    </row>
    <row r="2162" spans="1:1" x14ac:dyDescent="0.25">
      <c r="A2162">
        <v>222</v>
      </c>
    </row>
    <row r="2163" spans="1:1" x14ac:dyDescent="0.25">
      <c r="A2163" t="s">
        <v>1126</v>
      </c>
    </row>
    <row r="2164" spans="1:1" x14ac:dyDescent="0.25">
      <c r="A2164" t="s">
        <v>318</v>
      </c>
    </row>
    <row r="2165" spans="1:1" x14ac:dyDescent="0.25">
      <c r="A2165" t="s">
        <v>1127</v>
      </c>
    </row>
    <row r="2166" spans="1:1" x14ac:dyDescent="0.25">
      <c r="A2166">
        <v>1378</v>
      </c>
    </row>
    <row r="2167" spans="1:1" x14ac:dyDescent="0.25">
      <c r="A2167">
        <v>118</v>
      </c>
    </row>
    <row r="2168" spans="1:1" x14ac:dyDescent="0.25">
      <c r="A2168">
        <v>156</v>
      </c>
    </row>
    <row r="2169" spans="1:1" x14ac:dyDescent="0.25">
      <c r="A2169">
        <v>146</v>
      </c>
    </row>
    <row r="2170" spans="1:1" x14ac:dyDescent="0.25">
      <c r="A2170">
        <v>2</v>
      </c>
    </row>
    <row r="2171" spans="1:1" x14ac:dyDescent="0.25">
      <c r="A2171">
        <v>223</v>
      </c>
    </row>
    <row r="2172" spans="1:1" x14ac:dyDescent="0.25">
      <c r="A2172" t="s">
        <v>1128</v>
      </c>
    </row>
    <row r="2173" spans="1:1" x14ac:dyDescent="0.25">
      <c r="A2173" t="s">
        <v>130</v>
      </c>
    </row>
    <row r="2174" spans="1:1" x14ac:dyDescent="0.25">
      <c r="A2174" t="s">
        <v>809</v>
      </c>
    </row>
    <row r="2175" spans="1:1" x14ac:dyDescent="0.25">
      <c r="A2175">
        <v>912</v>
      </c>
    </row>
    <row r="2176" spans="1:1" x14ac:dyDescent="0.25">
      <c r="A2176">
        <v>127</v>
      </c>
    </row>
    <row r="2177" spans="1:1" x14ac:dyDescent="0.25">
      <c r="A2177">
        <v>69</v>
      </c>
    </row>
    <row r="2178" spans="1:1" x14ac:dyDescent="0.25">
      <c r="A2178">
        <v>111</v>
      </c>
    </row>
    <row r="2179" spans="1:1" x14ac:dyDescent="0.25">
      <c r="A2179">
        <v>2</v>
      </c>
    </row>
    <row r="2180" spans="1:1" x14ac:dyDescent="0.25">
      <c r="A2180">
        <v>224</v>
      </c>
    </row>
    <row r="2181" spans="1:1" x14ac:dyDescent="0.25">
      <c r="A2181" t="s">
        <v>1129</v>
      </c>
    </row>
    <row r="2182" spans="1:1" x14ac:dyDescent="0.25">
      <c r="A2182" t="s">
        <v>131</v>
      </c>
    </row>
    <row r="2183" spans="1:1" x14ac:dyDescent="0.25">
      <c r="A2183" t="s">
        <v>809</v>
      </c>
    </row>
    <row r="2184" spans="1:1" x14ac:dyDescent="0.25">
      <c r="A2184">
        <v>2315</v>
      </c>
    </row>
    <row r="2185" spans="1:1" x14ac:dyDescent="0.25">
      <c r="A2185">
        <v>197</v>
      </c>
    </row>
    <row r="2186" spans="1:1" x14ac:dyDescent="0.25">
      <c r="A2186">
        <v>141</v>
      </c>
    </row>
    <row r="2187" spans="1:1" x14ac:dyDescent="0.25">
      <c r="A2187">
        <v>181</v>
      </c>
    </row>
    <row r="2188" spans="1:1" x14ac:dyDescent="0.25">
      <c r="A2188">
        <v>2</v>
      </c>
    </row>
    <row r="2189" spans="1:1" x14ac:dyDescent="0.25">
      <c r="A2189">
        <v>225</v>
      </c>
    </row>
    <row r="2190" spans="1:1" x14ac:dyDescent="0.25">
      <c r="A2190" t="s">
        <v>1130</v>
      </c>
    </row>
    <row r="2191" spans="1:1" x14ac:dyDescent="0.25">
      <c r="A2191" t="s">
        <v>526</v>
      </c>
    </row>
    <row r="2192" spans="1:1" x14ac:dyDescent="0.25">
      <c r="A2192" t="s">
        <v>1025</v>
      </c>
    </row>
    <row r="2193" spans="1:1" x14ac:dyDescent="0.25">
      <c r="A2193">
        <v>1094</v>
      </c>
    </row>
    <row r="2194" spans="1:1" x14ac:dyDescent="0.25">
      <c r="A2194">
        <v>128</v>
      </c>
    </row>
    <row r="2195" spans="1:1" x14ac:dyDescent="0.25">
      <c r="A2195">
        <v>90</v>
      </c>
    </row>
    <row r="2196" spans="1:1" x14ac:dyDescent="0.25">
      <c r="A2196">
        <v>128</v>
      </c>
    </row>
    <row r="2197" spans="1:1" x14ac:dyDescent="0.25">
      <c r="A2197">
        <v>2</v>
      </c>
    </row>
    <row r="2198" spans="1:1" x14ac:dyDescent="0.25">
      <c r="A2198">
        <v>226</v>
      </c>
    </row>
    <row r="2199" spans="1:1" x14ac:dyDescent="0.25">
      <c r="A2199" t="s">
        <v>1131</v>
      </c>
    </row>
    <row r="2200" spans="1:1" x14ac:dyDescent="0.25">
      <c r="A2200" t="s">
        <v>527</v>
      </c>
    </row>
    <row r="2201" spans="1:1" x14ac:dyDescent="0.25">
      <c r="A2201" t="s">
        <v>1007</v>
      </c>
    </row>
    <row r="2202" spans="1:1" x14ac:dyDescent="0.25">
      <c r="A2202">
        <v>2108</v>
      </c>
    </row>
    <row r="2203" spans="1:1" x14ac:dyDescent="0.25">
      <c r="A2203">
        <v>148</v>
      </c>
    </row>
    <row r="2204" spans="1:1" x14ac:dyDescent="0.25">
      <c r="A2204">
        <v>226</v>
      </c>
    </row>
    <row r="2205" spans="1:1" x14ac:dyDescent="0.25">
      <c r="A2205">
        <v>163</v>
      </c>
    </row>
    <row r="2206" spans="1:1" x14ac:dyDescent="0.25">
      <c r="A2206">
        <v>2</v>
      </c>
    </row>
    <row r="2207" spans="1:1" x14ac:dyDescent="0.25">
      <c r="A2207">
        <v>227</v>
      </c>
    </row>
    <row r="2208" spans="1:1" x14ac:dyDescent="0.25">
      <c r="A2208" t="s">
        <v>1132</v>
      </c>
    </row>
    <row r="2209" spans="1:1" x14ac:dyDescent="0.25">
      <c r="A2209" t="s">
        <v>528</v>
      </c>
    </row>
    <row r="2210" spans="1:1" x14ac:dyDescent="0.25">
      <c r="A2210" t="s">
        <v>1133</v>
      </c>
    </row>
    <row r="2211" spans="1:1" x14ac:dyDescent="0.25">
      <c r="A2211">
        <v>2108</v>
      </c>
    </row>
    <row r="2212" spans="1:1" x14ac:dyDescent="0.25">
      <c r="A2212">
        <v>148</v>
      </c>
    </row>
    <row r="2213" spans="1:1" x14ac:dyDescent="0.25">
      <c r="A2213">
        <v>226</v>
      </c>
    </row>
    <row r="2214" spans="1:1" x14ac:dyDescent="0.25">
      <c r="A2214">
        <v>163</v>
      </c>
    </row>
    <row r="2215" spans="1:1" x14ac:dyDescent="0.25">
      <c r="A2215">
        <v>2</v>
      </c>
    </row>
    <row r="2216" spans="1:1" x14ac:dyDescent="0.25">
      <c r="A2216">
        <v>228</v>
      </c>
    </row>
    <row r="2217" spans="1:1" x14ac:dyDescent="0.25">
      <c r="A2217" t="s">
        <v>1134</v>
      </c>
    </row>
    <row r="2218" spans="1:1" x14ac:dyDescent="0.25">
      <c r="A2218" t="s">
        <v>319</v>
      </c>
    </row>
    <row r="2219" spans="1:1" x14ac:dyDescent="0.25">
      <c r="A2219" t="s">
        <v>1135</v>
      </c>
    </row>
    <row r="2220" spans="1:1" x14ac:dyDescent="0.25">
      <c r="A2220">
        <v>1234</v>
      </c>
    </row>
    <row r="2221" spans="1:1" x14ac:dyDescent="0.25">
      <c r="A2221">
        <v>152</v>
      </c>
    </row>
    <row r="2222" spans="1:1" x14ac:dyDescent="0.25">
      <c r="A2222">
        <v>83</v>
      </c>
    </row>
    <row r="2223" spans="1:1" x14ac:dyDescent="0.25">
      <c r="A2223">
        <v>128</v>
      </c>
    </row>
    <row r="2224" spans="1:1" x14ac:dyDescent="0.25">
      <c r="A2224">
        <v>2</v>
      </c>
    </row>
    <row r="2225" spans="1:1" x14ac:dyDescent="0.25">
      <c r="A2225">
        <v>229</v>
      </c>
    </row>
    <row r="2226" spans="1:1" x14ac:dyDescent="0.25">
      <c r="A2226" t="s">
        <v>1136</v>
      </c>
    </row>
    <row r="2227" spans="1:1" x14ac:dyDescent="0.25">
      <c r="A2227" t="s">
        <v>320</v>
      </c>
    </row>
    <row r="2228" spans="1:1" x14ac:dyDescent="0.25">
      <c r="A2228" t="s">
        <v>1135</v>
      </c>
    </row>
    <row r="2229" spans="1:1" x14ac:dyDescent="0.25">
      <c r="A2229">
        <v>2635</v>
      </c>
    </row>
    <row r="2230" spans="1:1" x14ac:dyDescent="0.25">
      <c r="A2230">
        <v>224</v>
      </c>
    </row>
    <row r="2231" spans="1:1" x14ac:dyDescent="0.25">
      <c r="A2231">
        <v>144</v>
      </c>
    </row>
    <row r="2232" spans="1:1" x14ac:dyDescent="0.25">
      <c r="A2232">
        <v>181</v>
      </c>
    </row>
    <row r="2233" spans="1:1" x14ac:dyDescent="0.25">
      <c r="A2233">
        <v>2</v>
      </c>
    </row>
    <row r="2234" spans="1:1" x14ac:dyDescent="0.25">
      <c r="A2234">
        <v>230</v>
      </c>
    </row>
    <row r="2235" spans="1:1" x14ac:dyDescent="0.25">
      <c r="A2235" t="s">
        <v>1137</v>
      </c>
    </row>
    <row r="2236" spans="1:1" x14ac:dyDescent="0.25">
      <c r="A2236" t="s">
        <v>321</v>
      </c>
    </row>
    <row r="2237" spans="1:1" x14ac:dyDescent="0.25">
      <c r="A2237" t="s">
        <v>1138</v>
      </c>
    </row>
    <row r="2238" spans="1:1" x14ac:dyDescent="0.25">
      <c r="A2238">
        <v>2641</v>
      </c>
    </row>
    <row r="2239" spans="1:1" x14ac:dyDescent="0.25">
      <c r="A2239">
        <v>194</v>
      </c>
    </row>
    <row r="2240" spans="1:1" x14ac:dyDescent="0.25">
      <c r="A2240">
        <v>194</v>
      </c>
    </row>
    <row r="2241" spans="1:1" x14ac:dyDescent="0.25">
      <c r="A2241">
        <v>181</v>
      </c>
    </row>
    <row r="2242" spans="1:1" x14ac:dyDescent="0.25">
      <c r="A2242">
        <v>2</v>
      </c>
    </row>
    <row r="2243" spans="1:1" x14ac:dyDescent="0.25">
      <c r="A2243">
        <v>231</v>
      </c>
    </row>
    <row r="2244" spans="1:1" x14ac:dyDescent="0.25">
      <c r="A2244" t="s">
        <v>1139</v>
      </c>
    </row>
    <row r="2245" spans="1:1" x14ac:dyDescent="0.25">
      <c r="A2245" t="s">
        <v>322</v>
      </c>
    </row>
    <row r="2246" spans="1:1" x14ac:dyDescent="0.25">
      <c r="A2246" t="s">
        <v>845</v>
      </c>
    </row>
    <row r="2247" spans="1:1" x14ac:dyDescent="0.25">
      <c r="A2247">
        <v>1206</v>
      </c>
    </row>
    <row r="2248" spans="1:1" x14ac:dyDescent="0.25">
      <c r="A2248">
        <v>107</v>
      </c>
    </row>
    <row r="2249" spans="1:1" x14ac:dyDescent="0.25">
      <c r="A2249">
        <v>98</v>
      </c>
    </row>
    <row r="2250" spans="1:1" x14ac:dyDescent="0.25">
      <c r="A2250">
        <v>207</v>
      </c>
    </row>
    <row r="2251" spans="1:1" x14ac:dyDescent="0.25">
      <c r="A2251">
        <v>2</v>
      </c>
    </row>
    <row r="2252" spans="1:1" x14ac:dyDescent="0.25">
      <c r="A2252">
        <v>232</v>
      </c>
    </row>
    <row r="2253" spans="1:1" x14ac:dyDescent="0.25">
      <c r="A2253" t="s">
        <v>1140</v>
      </c>
    </row>
    <row r="2254" spans="1:1" x14ac:dyDescent="0.25">
      <c r="A2254" t="s">
        <v>661</v>
      </c>
    </row>
    <row r="2255" spans="1:1" x14ac:dyDescent="0.25">
      <c r="A2255" t="s">
        <v>845</v>
      </c>
    </row>
    <row r="2256" spans="1:1" x14ac:dyDescent="0.25">
      <c r="A2256">
        <v>3013</v>
      </c>
    </row>
    <row r="2257" spans="1:1" x14ac:dyDescent="0.25">
      <c r="A2257">
        <v>214</v>
      </c>
    </row>
    <row r="2258" spans="1:1" x14ac:dyDescent="0.25">
      <c r="A2258">
        <v>185</v>
      </c>
    </row>
    <row r="2259" spans="1:1" x14ac:dyDescent="0.25">
      <c r="A2259">
        <v>207</v>
      </c>
    </row>
    <row r="2260" spans="1:1" x14ac:dyDescent="0.25">
      <c r="A2260">
        <v>2</v>
      </c>
    </row>
    <row r="2261" spans="1:1" x14ac:dyDescent="0.25">
      <c r="A2261">
        <v>233</v>
      </c>
    </row>
    <row r="2262" spans="1:1" x14ac:dyDescent="0.25">
      <c r="A2262" t="s">
        <v>1141</v>
      </c>
    </row>
    <row r="2263" spans="1:1" x14ac:dyDescent="0.25">
      <c r="A2263" t="s">
        <v>323</v>
      </c>
    </row>
    <row r="2264" spans="1:1" x14ac:dyDescent="0.25">
      <c r="A2264" t="s">
        <v>826</v>
      </c>
    </row>
    <row r="2265" spans="1:1" x14ac:dyDescent="0.25">
      <c r="A2265">
        <v>2711</v>
      </c>
    </row>
    <row r="2266" spans="1:1" x14ac:dyDescent="0.25">
      <c r="A2266">
        <v>198</v>
      </c>
    </row>
    <row r="2267" spans="1:1" x14ac:dyDescent="0.25">
      <c r="A2267">
        <v>180</v>
      </c>
    </row>
    <row r="2268" spans="1:1" x14ac:dyDescent="0.25">
      <c r="A2268">
        <v>198</v>
      </c>
    </row>
    <row r="2269" spans="1:1" x14ac:dyDescent="0.25">
      <c r="A2269">
        <v>2</v>
      </c>
    </row>
    <row r="2270" spans="1:1" x14ac:dyDescent="0.25">
      <c r="A2270">
        <v>234</v>
      </c>
    </row>
    <row r="2271" spans="1:1" x14ac:dyDescent="0.25">
      <c r="A2271" t="s">
        <v>1142</v>
      </c>
    </row>
    <row r="2272" spans="1:1" x14ac:dyDescent="0.25">
      <c r="A2272" t="s">
        <v>324</v>
      </c>
    </row>
    <row r="2273" spans="1:1" x14ac:dyDescent="0.25">
      <c r="A2273" t="s">
        <v>826</v>
      </c>
    </row>
    <row r="2274" spans="1:1" x14ac:dyDescent="0.25">
      <c r="A2274">
        <v>2164</v>
      </c>
    </row>
    <row r="2275" spans="1:1" x14ac:dyDescent="0.25">
      <c r="A2275">
        <v>192</v>
      </c>
    </row>
    <row r="2276" spans="1:1" x14ac:dyDescent="0.25">
      <c r="A2276">
        <v>131</v>
      </c>
    </row>
    <row r="2277" spans="1:1" x14ac:dyDescent="0.25">
      <c r="A2277">
        <v>177</v>
      </c>
    </row>
    <row r="2278" spans="1:1" x14ac:dyDescent="0.25">
      <c r="A2278">
        <v>2</v>
      </c>
    </row>
    <row r="2279" spans="1:1" x14ac:dyDescent="0.25">
      <c r="A2279">
        <v>235</v>
      </c>
    </row>
    <row r="2280" spans="1:1" x14ac:dyDescent="0.25">
      <c r="A2280" t="s">
        <v>1143</v>
      </c>
    </row>
    <row r="2281" spans="1:1" x14ac:dyDescent="0.25">
      <c r="A2281" t="s">
        <v>325</v>
      </c>
    </row>
    <row r="2282" spans="1:1" x14ac:dyDescent="0.25">
      <c r="A2282" t="s">
        <v>826</v>
      </c>
    </row>
    <row r="2283" spans="1:1" x14ac:dyDescent="0.25">
      <c r="A2283">
        <v>431</v>
      </c>
    </row>
    <row r="2284" spans="1:1" x14ac:dyDescent="0.25">
      <c r="A2284">
        <v>40</v>
      </c>
    </row>
    <row r="2285" spans="1:1" x14ac:dyDescent="0.25">
      <c r="A2285">
        <v>83</v>
      </c>
    </row>
    <row r="2286" spans="1:1" x14ac:dyDescent="0.25">
      <c r="A2286">
        <v>146</v>
      </c>
    </row>
    <row r="2287" spans="1:1" x14ac:dyDescent="0.25">
      <c r="A2287">
        <v>2</v>
      </c>
    </row>
    <row r="2288" spans="1:1" x14ac:dyDescent="0.25">
      <c r="A2288">
        <v>236</v>
      </c>
    </row>
    <row r="2289" spans="1:1" x14ac:dyDescent="0.25">
      <c r="A2289" t="s">
        <v>1144</v>
      </c>
    </row>
    <row r="2290" spans="1:1" x14ac:dyDescent="0.25">
      <c r="A2290" t="s">
        <v>530</v>
      </c>
    </row>
    <row r="2291" spans="1:1" x14ac:dyDescent="0.25">
      <c r="A2291" t="s">
        <v>901</v>
      </c>
    </row>
    <row r="2292" spans="1:1" x14ac:dyDescent="0.25">
      <c r="A2292">
        <v>492</v>
      </c>
    </row>
    <row r="2293" spans="1:1" x14ac:dyDescent="0.25">
      <c r="A2293">
        <v>64</v>
      </c>
    </row>
    <row r="2294" spans="1:1" x14ac:dyDescent="0.25">
      <c r="A2294">
        <v>64</v>
      </c>
    </row>
    <row r="2295" spans="1:1" x14ac:dyDescent="0.25">
      <c r="A2295">
        <v>111</v>
      </c>
    </row>
    <row r="2296" spans="1:1" x14ac:dyDescent="0.25">
      <c r="A2296">
        <v>2</v>
      </c>
    </row>
    <row r="2297" spans="1:1" x14ac:dyDescent="0.25">
      <c r="A2297">
        <v>237</v>
      </c>
    </row>
    <row r="2298" spans="1:1" x14ac:dyDescent="0.25">
      <c r="A2298" t="s">
        <v>1145</v>
      </c>
    </row>
    <row r="2299" spans="1:1" x14ac:dyDescent="0.25">
      <c r="A2299" t="s">
        <v>531</v>
      </c>
    </row>
    <row r="2300" spans="1:1" x14ac:dyDescent="0.25">
      <c r="A2300" t="s">
        <v>901</v>
      </c>
    </row>
    <row r="2301" spans="1:1" x14ac:dyDescent="0.25">
      <c r="A2301">
        <v>2156</v>
      </c>
    </row>
    <row r="2302" spans="1:1" x14ac:dyDescent="0.25">
      <c r="A2302">
        <v>173</v>
      </c>
    </row>
    <row r="2303" spans="1:1" x14ac:dyDescent="0.25">
      <c r="A2303">
        <v>207</v>
      </c>
    </row>
    <row r="2304" spans="1:1" x14ac:dyDescent="0.25">
      <c r="A2304">
        <v>137</v>
      </c>
    </row>
    <row r="2305" spans="1:1" x14ac:dyDescent="0.25">
      <c r="A2305">
        <v>2</v>
      </c>
    </row>
    <row r="2306" spans="1:1" x14ac:dyDescent="0.25">
      <c r="A2306">
        <v>238</v>
      </c>
    </row>
    <row r="2307" spans="1:1" x14ac:dyDescent="0.25">
      <c r="A2307" t="s">
        <v>1146</v>
      </c>
    </row>
    <row r="2308" spans="1:1" x14ac:dyDescent="0.25">
      <c r="A2308" t="s">
        <v>511</v>
      </c>
    </row>
    <row r="2309" spans="1:1" x14ac:dyDescent="0.25">
      <c r="A2309" t="s">
        <v>1000</v>
      </c>
    </row>
    <row r="2310" spans="1:1" x14ac:dyDescent="0.25">
      <c r="A2310">
        <v>1291</v>
      </c>
    </row>
    <row r="2311" spans="1:1" x14ac:dyDescent="0.25">
      <c r="A2311">
        <v>153</v>
      </c>
    </row>
    <row r="2312" spans="1:1" x14ac:dyDescent="0.25">
      <c r="A2312">
        <v>91</v>
      </c>
    </row>
    <row r="2313" spans="1:1" x14ac:dyDescent="0.25">
      <c r="A2313">
        <v>128</v>
      </c>
    </row>
    <row r="2314" spans="1:1" x14ac:dyDescent="0.25">
      <c r="A2314">
        <v>2</v>
      </c>
    </row>
    <row r="2315" spans="1:1" x14ac:dyDescent="0.25">
      <c r="A2315">
        <v>239</v>
      </c>
    </row>
    <row r="2316" spans="1:1" x14ac:dyDescent="0.25">
      <c r="A2316" t="s">
        <v>1147</v>
      </c>
    </row>
    <row r="2317" spans="1:1" x14ac:dyDescent="0.25">
      <c r="A2317" t="s">
        <v>512</v>
      </c>
    </row>
    <row r="2318" spans="1:1" x14ac:dyDescent="0.25">
      <c r="A2318" t="s">
        <v>839</v>
      </c>
    </row>
    <row r="2319" spans="1:1" x14ac:dyDescent="0.25">
      <c r="A2319">
        <v>1206</v>
      </c>
    </row>
    <row r="2320" spans="1:1" x14ac:dyDescent="0.25">
      <c r="A2320">
        <v>135</v>
      </c>
    </row>
    <row r="2321" spans="1:1" x14ac:dyDescent="0.25">
      <c r="A2321">
        <v>101</v>
      </c>
    </row>
    <row r="2322" spans="1:1" x14ac:dyDescent="0.25">
      <c r="A2322">
        <v>128</v>
      </c>
    </row>
    <row r="2323" spans="1:1" x14ac:dyDescent="0.25">
      <c r="A2323">
        <v>2</v>
      </c>
    </row>
    <row r="2324" spans="1:1" x14ac:dyDescent="0.25">
      <c r="A2324">
        <v>240</v>
      </c>
    </row>
    <row r="2325" spans="1:1" x14ac:dyDescent="0.25">
      <c r="A2325" t="s">
        <v>1148</v>
      </c>
    </row>
    <row r="2326" spans="1:1" x14ac:dyDescent="0.25">
      <c r="A2326" t="s">
        <v>513</v>
      </c>
    </row>
    <row r="2327" spans="1:1" x14ac:dyDescent="0.25">
      <c r="A2327" t="s">
        <v>804</v>
      </c>
    </row>
    <row r="2328" spans="1:1" x14ac:dyDescent="0.25">
      <c r="A2328">
        <v>1323</v>
      </c>
    </row>
    <row r="2329" spans="1:1" x14ac:dyDescent="0.25">
      <c r="A2329">
        <v>151</v>
      </c>
    </row>
    <row r="2330" spans="1:1" x14ac:dyDescent="0.25">
      <c r="A2330">
        <v>99</v>
      </c>
    </row>
    <row r="2331" spans="1:1" x14ac:dyDescent="0.25">
      <c r="A2331">
        <v>128</v>
      </c>
    </row>
    <row r="2332" spans="1:1" x14ac:dyDescent="0.25">
      <c r="A2332">
        <v>2</v>
      </c>
    </row>
    <row r="2333" spans="1:1" x14ac:dyDescent="0.25">
      <c r="A2333">
        <v>241</v>
      </c>
    </row>
    <row r="2334" spans="1:1" x14ac:dyDescent="0.25">
      <c r="A2334" t="s">
        <v>1149</v>
      </c>
    </row>
    <row r="2335" spans="1:1" x14ac:dyDescent="0.25">
      <c r="A2335" t="s">
        <v>532</v>
      </c>
    </row>
    <row r="2336" spans="1:1" x14ac:dyDescent="0.25">
      <c r="A2336" t="s">
        <v>826</v>
      </c>
    </row>
    <row r="2337" spans="1:1" x14ac:dyDescent="0.25">
      <c r="A2337">
        <v>2354</v>
      </c>
    </row>
    <row r="2338" spans="1:1" x14ac:dyDescent="0.25">
      <c r="A2338">
        <v>157</v>
      </c>
    </row>
    <row r="2339" spans="1:1" x14ac:dyDescent="0.25">
      <c r="A2339">
        <v>193</v>
      </c>
    </row>
    <row r="2340" spans="1:1" x14ac:dyDescent="0.25">
      <c r="A2340">
        <v>216</v>
      </c>
    </row>
    <row r="2341" spans="1:1" x14ac:dyDescent="0.25">
      <c r="A2341">
        <v>2</v>
      </c>
    </row>
    <row r="2342" spans="1:1" x14ac:dyDescent="0.25">
      <c r="A2342">
        <v>242</v>
      </c>
    </row>
    <row r="2343" spans="1:1" x14ac:dyDescent="0.25">
      <c r="A2343" t="s">
        <v>1150</v>
      </c>
    </row>
    <row r="2344" spans="1:1" x14ac:dyDescent="0.25">
      <c r="A2344" t="s">
        <v>533</v>
      </c>
    </row>
    <row r="2345" spans="1:1" x14ac:dyDescent="0.25">
      <c r="A2345" t="s">
        <v>826</v>
      </c>
    </row>
    <row r="2346" spans="1:1" x14ac:dyDescent="0.25">
      <c r="A2346">
        <v>2757</v>
      </c>
    </row>
    <row r="2347" spans="1:1" x14ac:dyDescent="0.25">
      <c r="A2347">
        <v>129</v>
      </c>
    </row>
    <row r="2348" spans="1:1" x14ac:dyDescent="0.25">
      <c r="A2348">
        <v>169</v>
      </c>
    </row>
    <row r="2349" spans="1:1" x14ac:dyDescent="0.25">
      <c r="A2349">
        <v>496</v>
      </c>
    </row>
    <row r="2350" spans="1:1" x14ac:dyDescent="0.25">
      <c r="A2350">
        <v>2</v>
      </c>
    </row>
    <row r="2351" spans="1:1" x14ac:dyDescent="0.25">
      <c r="A2351">
        <v>243</v>
      </c>
    </row>
    <row r="2352" spans="1:1" x14ac:dyDescent="0.25">
      <c r="A2352" t="s">
        <v>1151</v>
      </c>
    </row>
    <row r="2353" spans="1:1" x14ac:dyDescent="0.25">
      <c r="A2353" t="s">
        <v>662</v>
      </c>
    </row>
    <row r="2354" spans="1:1" x14ac:dyDescent="0.25">
      <c r="A2354" t="s">
        <v>839</v>
      </c>
    </row>
    <row r="2355" spans="1:1" x14ac:dyDescent="0.25">
      <c r="A2355">
        <v>3452</v>
      </c>
    </row>
    <row r="2356" spans="1:1" x14ac:dyDescent="0.25">
      <c r="A2356">
        <v>241</v>
      </c>
    </row>
    <row r="2357" spans="1:1" x14ac:dyDescent="0.25">
      <c r="A2357">
        <v>195</v>
      </c>
    </row>
    <row r="2358" spans="1:1" x14ac:dyDescent="0.25">
      <c r="A2358">
        <v>207</v>
      </c>
    </row>
    <row r="2359" spans="1:1" x14ac:dyDescent="0.25">
      <c r="A2359">
        <v>2</v>
      </c>
    </row>
    <row r="2360" spans="1:1" x14ac:dyDescent="0.25">
      <c r="A2360">
        <v>244</v>
      </c>
    </row>
    <row r="2361" spans="1:1" x14ac:dyDescent="0.25">
      <c r="A2361" t="s">
        <v>1152</v>
      </c>
    </row>
    <row r="2362" spans="1:1" x14ac:dyDescent="0.25">
      <c r="A2362" t="s">
        <v>663</v>
      </c>
    </row>
    <row r="2363" spans="1:1" x14ac:dyDescent="0.25">
      <c r="A2363" t="s">
        <v>804</v>
      </c>
    </row>
    <row r="2364" spans="1:1" x14ac:dyDescent="0.25">
      <c r="A2364">
        <v>3473</v>
      </c>
    </row>
    <row r="2365" spans="1:1" x14ac:dyDescent="0.25">
      <c r="A2365">
        <v>235</v>
      </c>
    </row>
    <row r="2366" spans="1:1" x14ac:dyDescent="0.25">
      <c r="A2366">
        <v>171</v>
      </c>
    </row>
    <row r="2367" spans="1:1" x14ac:dyDescent="0.25">
      <c r="A2367">
        <v>251</v>
      </c>
    </row>
    <row r="2368" spans="1:1" x14ac:dyDescent="0.25">
      <c r="A2368">
        <v>2</v>
      </c>
    </row>
    <row r="2369" spans="1:1" x14ac:dyDescent="0.25">
      <c r="A2369">
        <v>245</v>
      </c>
    </row>
    <row r="2370" spans="1:1" x14ac:dyDescent="0.25">
      <c r="A2370" t="s">
        <v>1153</v>
      </c>
    </row>
    <row r="2371" spans="1:1" x14ac:dyDescent="0.25">
      <c r="A2371" t="s">
        <v>664</v>
      </c>
    </row>
    <row r="2372" spans="1:1" x14ac:dyDescent="0.25">
      <c r="A2372" t="s">
        <v>809</v>
      </c>
    </row>
    <row r="2373" spans="1:1" x14ac:dyDescent="0.25">
      <c r="A2373">
        <v>2983</v>
      </c>
    </row>
    <row r="2374" spans="1:1" x14ac:dyDescent="0.25">
      <c r="A2374">
        <v>180</v>
      </c>
    </row>
    <row r="2375" spans="1:1" x14ac:dyDescent="0.25">
      <c r="A2375">
        <v>235</v>
      </c>
    </row>
    <row r="2376" spans="1:1" x14ac:dyDescent="0.25">
      <c r="A2376">
        <v>225</v>
      </c>
    </row>
    <row r="2377" spans="1:1" x14ac:dyDescent="0.25">
      <c r="A2377">
        <v>2</v>
      </c>
    </row>
    <row r="2378" spans="1:1" x14ac:dyDescent="0.25">
      <c r="A2378">
        <v>246</v>
      </c>
    </row>
    <row r="2379" spans="1:1" x14ac:dyDescent="0.25">
      <c r="A2379" t="s">
        <v>1154</v>
      </c>
    </row>
    <row r="2380" spans="1:1" x14ac:dyDescent="0.25">
      <c r="A2380" t="s">
        <v>534</v>
      </c>
    </row>
    <row r="2381" spans="1:1" x14ac:dyDescent="0.25">
      <c r="A2381" t="s">
        <v>923</v>
      </c>
    </row>
    <row r="2382" spans="1:1" x14ac:dyDescent="0.25">
      <c r="A2382">
        <v>1040</v>
      </c>
    </row>
    <row r="2383" spans="1:1" x14ac:dyDescent="0.25">
      <c r="A2383">
        <v>115</v>
      </c>
    </row>
    <row r="2384" spans="1:1" x14ac:dyDescent="0.25">
      <c r="A2384">
        <v>93</v>
      </c>
    </row>
    <row r="2385" spans="1:1" x14ac:dyDescent="0.25">
      <c r="A2385">
        <v>137</v>
      </c>
    </row>
    <row r="2386" spans="1:1" x14ac:dyDescent="0.25">
      <c r="A2386">
        <v>2</v>
      </c>
    </row>
    <row r="2387" spans="1:1" x14ac:dyDescent="0.25">
      <c r="A2387">
        <v>247</v>
      </c>
    </row>
    <row r="2388" spans="1:1" x14ac:dyDescent="0.25">
      <c r="A2388" t="s">
        <v>1155</v>
      </c>
    </row>
    <row r="2389" spans="1:1" x14ac:dyDescent="0.25">
      <c r="A2389" t="s">
        <v>535</v>
      </c>
    </row>
    <row r="2390" spans="1:1" x14ac:dyDescent="0.25">
      <c r="A2390" t="s">
        <v>923</v>
      </c>
    </row>
    <row r="2391" spans="1:1" x14ac:dyDescent="0.25">
      <c r="A2391">
        <v>1766</v>
      </c>
    </row>
    <row r="2392" spans="1:1" x14ac:dyDescent="0.25">
      <c r="A2392">
        <v>155</v>
      </c>
    </row>
    <row r="2393" spans="1:1" x14ac:dyDescent="0.25">
      <c r="A2393">
        <v>133</v>
      </c>
    </row>
    <row r="2394" spans="1:1" x14ac:dyDescent="0.25">
      <c r="A2394">
        <v>172</v>
      </c>
    </row>
    <row r="2395" spans="1:1" x14ac:dyDescent="0.25">
      <c r="A2395">
        <v>2</v>
      </c>
    </row>
    <row r="2396" spans="1:1" x14ac:dyDescent="0.25">
      <c r="A2396">
        <v>248</v>
      </c>
    </row>
    <row r="2397" spans="1:1" x14ac:dyDescent="0.25">
      <c r="A2397" t="s">
        <v>1156</v>
      </c>
    </row>
    <row r="2398" spans="1:1" x14ac:dyDescent="0.25">
      <c r="A2398" t="s">
        <v>536</v>
      </c>
    </row>
    <row r="2399" spans="1:1" x14ac:dyDescent="0.25">
      <c r="A2399" t="s">
        <v>1157</v>
      </c>
    </row>
    <row r="2400" spans="1:1" x14ac:dyDescent="0.25">
      <c r="A2400">
        <v>3834</v>
      </c>
    </row>
    <row r="2401" spans="1:1" x14ac:dyDescent="0.25">
      <c r="A2401">
        <v>251</v>
      </c>
    </row>
    <row r="2402" spans="1:1" x14ac:dyDescent="0.25">
      <c r="A2402">
        <v>207</v>
      </c>
    </row>
    <row r="2403" spans="1:1" x14ac:dyDescent="0.25">
      <c r="A2403">
        <v>225</v>
      </c>
    </row>
    <row r="2404" spans="1:1" x14ac:dyDescent="0.25">
      <c r="A2404">
        <v>2</v>
      </c>
    </row>
    <row r="2405" spans="1:1" x14ac:dyDescent="0.25">
      <c r="A2405">
        <v>249</v>
      </c>
    </row>
    <row r="2406" spans="1:1" x14ac:dyDescent="0.25">
      <c r="A2406" t="s">
        <v>1158</v>
      </c>
    </row>
    <row r="2407" spans="1:1" x14ac:dyDescent="0.25">
      <c r="A2407" t="s">
        <v>665</v>
      </c>
    </row>
    <row r="2408" spans="1:1" x14ac:dyDescent="0.25">
      <c r="A2408" t="s">
        <v>1066</v>
      </c>
    </row>
    <row r="2409" spans="1:1" x14ac:dyDescent="0.25">
      <c r="A2409">
        <v>3703</v>
      </c>
    </row>
    <row r="2410" spans="1:1" x14ac:dyDescent="0.25">
      <c r="A2410">
        <v>193</v>
      </c>
    </row>
    <row r="2411" spans="1:1" x14ac:dyDescent="0.25">
      <c r="A2411">
        <v>310</v>
      </c>
    </row>
    <row r="2412" spans="1:1" x14ac:dyDescent="0.25">
      <c r="A2412">
        <v>235</v>
      </c>
    </row>
    <row r="2413" spans="1:1" x14ac:dyDescent="0.25">
      <c r="A2413">
        <v>2</v>
      </c>
    </row>
    <row r="2414" spans="1:1" x14ac:dyDescent="0.25">
      <c r="A2414">
        <v>250</v>
      </c>
    </row>
    <row r="2415" spans="1:1" x14ac:dyDescent="0.25">
      <c r="A2415" t="s">
        <v>1159</v>
      </c>
    </row>
    <row r="2416" spans="1:1" x14ac:dyDescent="0.25">
      <c r="A2416" t="s">
        <v>666</v>
      </c>
    </row>
    <row r="2417" spans="1:1" x14ac:dyDescent="0.25">
      <c r="A2417" t="s">
        <v>807</v>
      </c>
    </row>
    <row r="2418" spans="1:1" x14ac:dyDescent="0.25">
      <c r="A2418">
        <v>3863</v>
      </c>
    </row>
    <row r="2419" spans="1:1" x14ac:dyDescent="0.25">
      <c r="A2419">
        <v>239</v>
      </c>
    </row>
    <row r="2420" spans="1:1" x14ac:dyDescent="0.25">
      <c r="A2420">
        <v>244</v>
      </c>
    </row>
    <row r="2421" spans="1:1" x14ac:dyDescent="0.25">
      <c r="A2421">
        <v>214</v>
      </c>
    </row>
    <row r="2422" spans="1:1" x14ac:dyDescent="0.25">
      <c r="A2422">
        <v>2</v>
      </c>
    </row>
    <row r="2423" spans="1:1" x14ac:dyDescent="0.25">
      <c r="A2423">
        <v>251</v>
      </c>
    </row>
    <row r="2424" spans="1:1" x14ac:dyDescent="0.25">
      <c r="A2424" t="s">
        <v>1160</v>
      </c>
    </row>
    <row r="2425" spans="1:1" x14ac:dyDescent="0.25">
      <c r="A2425" t="s">
        <v>667</v>
      </c>
    </row>
    <row r="2426" spans="1:1" x14ac:dyDescent="0.25">
      <c r="A2426" t="s">
        <v>1161</v>
      </c>
    </row>
    <row r="2427" spans="1:1" x14ac:dyDescent="0.25">
      <c r="A2427">
        <v>3265</v>
      </c>
    </row>
    <row r="2428" spans="1:1" x14ac:dyDescent="0.25">
      <c r="A2428">
        <v>210</v>
      </c>
    </row>
    <row r="2429" spans="1:1" x14ac:dyDescent="0.25">
      <c r="A2429">
        <v>210</v>
      </c>
    </row>
    <row r="2430" spans="1:1" x14ac:dyDescent="0.25">
      <c r="A2430">
        <v>225</v>
      </c>
    </row>
    <row r="2431" spans="1:1" x14ac:dyDescent="0.25">
      <c r="A2431">
        <v>2</v>
      </c>
    </row>
    <row r="2432" spans="1:1" x14ac:dyDescent="0.25">
      <c r="A2432">
        <v>252</v>
      </c>
    </row>
    <row r="2433" spans="1:1" x14ac:dyDescent="0.25">
      <c r="A2433" t="s">
        <v>1162</v>
      </c>
    </row>
    <row r="2434" spans="1:1" x14ac:dyDescent="0.25">
      <c r="A2434" t="s">
        <v>326</v>
      </c>
    </row>
    <row r="2435" spans="1:1" x14ac:dyDescent="0.25">
      <c r="A2435" t="s">
        <v>988</v>
      </c>
    </row>
    <row r="2436" spans="1:1" x14ac:dyDescent="0.25">
      <c r="A2436">
        <v>1053</v>
      </c>
    </row>
    <row r="2437" spans="1:1" x14ac:dyDescent="0.25">
      <c r="A2437">
        <v>124</v>
      </c>
    </row>
    <row r="2438" spans="1:1" x14ac:dyDescent="0.25">
      <c r="A2438">
        <v>94</v>
      </c>
    </row>
    <row r="2439" spans="1:1" x14ac:dyDescent="0.25">
      <c r="A2439">
        <v>120</v>
      </c>
    </row>
    <row r="2440" spans="1:1" x14ac:dyDescent="0.25">
      <c r="A2440">
        <v>3</v>
      </c>
    </row>
    <row r="2441" spans="1:1" x14ac:dyDescent="0.25">
      <c r="A2441">
        <v>253</v>
      </c>
    </row>
    <row r="2442" spans="1:1" x14ac:dyDescent="0.25">
      <c r="A2442" t="s">
        <v>1163</v>
      </c>
    </row>
    <row r="2443" spans="1:1" x14ac:dyDescent="0.25">
      <c r="A2443" t="s">
        <v>327</v>
      </c>
    </row>
    <row r="2444" spans="1:1" x14ac:dyDescent="0.25">
      <c r="A2444" t="s">
        <v>988</v>
      </c>
    </row>
    <row r="2445" spans="1:1" x14ac:dyDescent="0.25">
      <c r="A2445">
        <v>1673</v>
      </c>
    </row>
    <row r="2446" spans="1:1" x14ac:dyDescent="0.25">
      <c r="A2446">
        <v>172</v>
      </c>
    </row>
    <row r="2447" spans="1:1" x14ac:dyDescent="0.25">
      <c r="A2447">
        <v>120</v>
      </c>
    </row>
    <row r="2448" spans="1:1" x14ac:dyDescent="0.25">
      <c r="A2448">
        <v>137</v>
      </c>
    </row>
    <row r="2449" spans="1:1" x14ac:dyDescent="0.25">
      <c r="A2449">
        <v>3</v>
      </c>
    </row>
    <row r="2450" spans="1:1" x14ac:dyDescent="0.25">
      <c r="A2450">
        <v>254</v>
      </c>
    </row>
    <row r="2451" spans="1:1" x14ac:dyDescent="0.25">
      <c r="A2451" t="s">
        <v>1164</v>
      </c>
    </row>
    <row r="2452" spans="1:1" x14ac:dyDescent="0.25">
      <c r="A2452" t="s">
        <v>328</v>
      </c>
    </row>
    <row r="2453" spans="1:1" x14ac:dyDescent="0.25">
      <c r="A2453" t="s">
        <v>988</v>
      </c>
    </row>
    <row r="2454" spans="1:1" x14ac:dyDescent="0.25">
      <c r="A2454">
        <v>2757</v>
      </c>
    </row>
    <row r="2455" spans="1:1" x14ac:dyDescent="0.25">
      <c r="A2455">
        <v>223</v>
      </c>
    </row>
    <row r="2456" spans="1:1" x14ac:dyDescent="0.25">
      <c r="A2456">
        <v>169</v>
      </c>
    </row>
    <row r="2457" spans="1:1" x14ac:dyDescent="0.25">
      <c r="A2457">
        <v>172</v>
      </c>
    </row>
    <row r="2458" spans="1:1" x14ac:dyDescent="0.25">
      <c r="A2458">
        <v>3</v>
      </c>
    </row>
    <row r="2459" spans="1:1" x14ac:dyDescent="0.25">
      <c r="A2459">
        <v>255</v>
      </c>
    </row>
    <row r="2460" spans="1:1" x14ac:dyDescent="0.25">
      <c r="A2460" t="s">
        <v>1165</v>
      </c>
    </row>
    <row r="2461" spans="1:1" x14ac:dyDescent="0.25">
      <c r="A2461" t="s">
        <v>329</v>
      </c>
    </row>
    <row r="2462" spans="1:1" x14ac:dyDescent="0.25">
      <c r="A2462" t="s">
        <v>804</v>
      </c>
    </row>
    <row r="2463" spans="1:1" x14ac:dyDescent="0.25">
      <c r="A2463">
        <v>1093</v>
      </c>
    </row>
    <row r="2464" spans="1:1" x14ac:dyDescent="0.25">
      <c r="A2464">
        <v>130</v>
      </c>
    </row>
    <row r="2465" spans="1:1" x14ac:dyDescent="0.25">
      <c r="A2465">
        <v>87</v>
      </c>
    </row>
    <row r="2466" spans="1:1" x14ac:dyDescent="0.25">
      <c r="A2466">
        <v>128</v>
      </c>
    </row>
    <row r="2467" spans="1:1" x14ac:dyDescent="0.25">
      <c r="A2467">
        <v>3</v>
      </c>
    </row>
    <row r="2468" spans="1:1" x14ac:dyDescent="0.25">
      <c r="A2468">
        <v>256</v>
      </c>
    </row>
    <row r="2469" spans="1:1" x14ac:dyDescent="0.25">
      <c r="A2469" t="s">
        <v>1166</v>
      </c>
    </row>
    <row r="2470" spans="1:1" x14ac:dyDescent="0.25">
      <c r="A2470" t="s">
        <v>330</v>
      </c>
    </row>
    <row r="2471" spans="1:1" x14ac:dyDescent="0.25">
      <c r="A2471" t="s">
        <v>1167</v>
      </c>
    </row>
    <row r="2472" spans="1:1" x14ac:dyDescent="0.25">
      <c r="A2472">
        <v>1652</v>
      </c>
    </row>
    <row r="2473" spans="1:1" x14ac:dyDescent="0.25">
      <c r="A2473">
        <v>163</v>
      </c>
    </row>
    <row r="2474" spans="1:1" x14ac:dyDescent="0.25">
      <c r="A2474">
        <v>115</v>
      </c>
    </row>
    <row r="2475" spans="1:1" x14ac:dyDescent="0.25">
      <c r="A2475">
        <v>155</v>
      </c>
    </row>
    <row r="2476" spans="1:1" x14ac:dyDescent="0.25">
      <c r="A2476">
        <v>3</v>
      </c>
    </row>
    <row r="2477" spans="1:1" x14ac:dyDescent="0.25">
      <c r="A2477">
        <v>257</v>
      </c>
    </row>
    <row r="2478" spans="1:1" x14ac:dyDescent="0.25">
      <c r="A2478" t="s">
        <v>1168</v>
      </c>
    </row>
    <row r="2479" spans="1:1" x14ac:dyDescent="0.25">
      <c r="A2479" t="s">
        <v>331</v>
      </c>
    </row>
    <row r="2480" spans="1:1" x14ac:dyDescent="0.25">
      <c r="A2480" t="s">
        <v>1167</v>
      </c>
    </row>
    <row r="2481" spans="1:1" x14ac:dyDescent="0.25">
      <c r="A2481">
        <v>2848</v>
      </c>
    </row>
    <row r="2482" spans="1:1" x14ac:dyDescent="0.25">
      <c r="A2482">
        <v>240</v>
      </c>
    </row>
    <row r="2483" spans="1:1" x14ac:dyDescent="0.25">
      <c r="A2483">
        <v>141</v>
      </c>
    </row>
    <row r="2484" spans="1:1" x14ac:dyDescent="0.25">
      <c r="A2484">
        <v>190</v>
      </c>
    </row>
    <row r="2485" spans="1:1" x14ac:dyDescent="0.25">
      <c r="A2485">
        <v>3</v>
      </c>
    </row>
    <row r="2486" spans="1:1" x14ac:dyDescent="0.25">
      <c r="A2486">
        <v>258</v>
      </c>
    </row>
    <row r="2487" spans="1:1" x14ac:dyDescent="0.25">
      <c r="A2487" t="s">
        <v>1169</v>
      </c>
    </row>
    <row r="2488" spans="1:1" x14ac:dyDescent="0.25">
      <c r="A2488" t="s">
        <v>332</v>
      </c>
    </row>
    <row r="2489" spans="1:1" x14ac:dyDescent="0.25">
      <c r="A2489" t="s">
        <v>809</v>
      </c>
    </row>
    <row r="2490" spans="1:1" x14ac:dyDescent="0.25">
      <c r="A2490">
        <v>1128</v>
      </c>
    </row>
    <row r="2491" spans="1:1" x14ac:dyDescent="0.25">
      <c r="A2491">
        <v>126</v>
      </c>
    </row>
    <row r="2492" spans="1:1" x14ac:dyDescent="0.25">
      <c r="A2492">
        <v>93</v>
      </c>
    </row>
    <row r="2493" spans="1:1" x14ac:dyDescent="0.25">
      <c r="A2493">
        <v>137</v>
      </c>
    </row>
    <row r="2494" spans="1:1" x14ac:dyDescent="0.25">
      <c r="A2494">
        <v>3</v>
      </c>
    </row>
    <row r="2495" spans="1:1" x14ac:dyDescent="0.25">
      <c r="A2495">
        <v>259</v>
      </c>
    </row>
    <row r="2496" spans="1:1" x14ac:dyDescent="0.25">
      <c r="A2496" t="s">
        <v>1170</v>
      </c>
    </row>
    <row r="2497" spans="1:1" x14ac:dyDescent="0.25">
      <c r="A2497" t="s">
        <v>333</v>
      </c>
    </row>
    <row r="2498" spans="1:1" x14ac:dyDescent="0.25">
      <c r="A2498" t="s">
        <v>1087</v>
      </c>
    </row>
    <row r="2499" spans="1:1" x14ac:dyDescent="0.25">
      <c r="A2499">
        <v>1776</v>
      </c>
    </row>
    <row r="2500" spans="1:1" x14ac:dyDescent="0.25">
      <c r="A2500">
        <v>156</v>
      </c>
    </row>
    <row r="2501" spans="1:1" x14ac:dyDescent="0.25">
      <c r="A2501">
        <v>133</v>
      </c>
    </row>
    <row r="2502" spans="1:1" x14ac:dyDescent="0.25">
      <c r="A2502">
        <v>172</v>
      </c>
    </row>
    <row r="2503" spans="1:1" x14ac:dyDescent="0.25">
      <c r="A2503">
        <v>3</v>
      </c>
    </row>
    <row r="2504" spans="1:1" x14ac:dyDescent="0.25">
      <c r="A2504">
        <v>260</v>
      </c>
    </row>
    <row r="2505" spans="1:1" x14ac:dyDescent="0.25">
      <c r="A2505" t="s">
        <v>1171</v>
      </c>
    </row>
    <row r="2506" spans="1:1" x14ac:dyDescent="0.25">
      <c r="A2506" t="s">
        <v>334</v>
      </c>
    </row>
    <row r="2507" spans="1:1" x14ac:dyDescent="0.25">
      <c r="A2507" t="s">
        <v>1087</v>
      </c>
    </row>
    <row r="2508" spans="1:1" x14ac:dyDescent="0.25">
      <c r="A2508">
        <v>2974</v>
      </c>
    </row>
    <row r="2509" spans="1:1" x14ac:dyDescent="0.25">
      <c r="A2509">
        <v>208</v>
      </c>
    </row>
    <row r="2510" spans="1:1" x14ac:dyDescent="0.25">
      <c r="A2510">
        <v>175</v>
      </c>
    </row>
    <row r="2511" spans="1:1" x14ac:dyDescent="0.25">
      <c r="A2511">
        <v>225</v>
      </c>
    </row>
    <row r="2512" spans="1:1" x14ac:dyDescent="0.25">
      <c r="A2512">
        <v>3</v>
      </c>
    </row>
    <row r="2513" spans="1:1" x14ac:dyDescent="0.25">
      <c r="A2513">
        <v>261</v>
      </c>
    </row>
    <row r="2514" spans="1:1" x14ac:dyDescent="0.25">
      <c r="A2514" t="s">
        <v>1172</v>
      </c>
    </row>
    <row r="2515" spans="1:1" x14ac:dyDescent="0.25">
      <c r="A2515" t="s">
        <v>132</v>
      </c>
    </row>
    <row r="2516" spans="1:1" x14ac:dyDescent="0.25">
      <c r="A2516" t="s">
        <v>894</v>
      </c>
    </row>
    <row r="2517" spans="1:1" x14ac:dyDescent="0.25">
      <c r="A2517">
        <v>678</v>
      </c>
    </row>
    <row r="2518" spans="1:1" x14ac:dyDescent="0.25">
      <c r="A2518">
        <v>96</v>
      </c>
    </row>
    <row r="2519" spans="1:1" x14ac:dyDescent="0.25">
      <c r="A2519">
        <v>61</v>
      </c>
    </row>
    <row r="2520" spans="1:1" x14ac:dyDescent="0.25">
      <c r="A2520">
        <v>111</v>
      </c>
    </row>
    <row r="2521" spans="1:1" x14ac:dyDescent="0.25">
      <c r="A2521">
        <v>3</v>
      </c>
    </row>
    <row r="2522" spans="1:1" x14ac:dyDescent="0.25">
      <c r="A2522">
        <v>262</v>
      </c>
    </row>
    <row r="2523" spans="1:1" x14ac:dyDescent="0.25">
      <c r="A2523" t="s">
        <v>1173</v>
      </c>
    </row>
    <row r="2524" spans="1:1" x14ac:dyDescent="0.25">
      <c r="A2524" t="s">
        <v>133</v>
      </c>
    </row>
    <row r="2525" spans="1:1" x14ac:dyDescent="0.25">
      <c r="A2525" t="s">
        <v>894</v>
      </c>
    </row>
    <row r="2526" spans="1:1" x14ac:dyDescent="0.25">
      <c r="A2526">
        <v>1926</v>
      </c>
    </row>
    <row r="2527" spans="1:1" x14ac:dyDescent="0.25">
      <c r="A2527">
        <v>171</v>
      </c>
    </row>
    <row r="2528" spans="1:1" x14ac:dyDescent="0.25">
      <c r="A2528">
        <v>132</v>
      </c>
    </row>
    <row r="2529" spans="1:1" x14ac:dyDescent="0.25">
      <c r="A2529">
        <v>172</v>
      </c>
    </row>
    <row r="2530" spans="1:1" x14ac:dyDescent="0.25">
      <c r="A2530">
        <v>3</v>
      </c>
    </row>
    <row r="2531" spans="1:1" x14ac:dyDescent="0.25">
      <c r="A2531">
        <v>263</v>
      </c>
    </row>
    <row r="2532" spans="1:1" x14ac:dyDescent="0.25">
      <c r="A2532" t="s">
        <v>1174</v>
      </c>
    </row>
    <row r="2533" spans="1:1" x14ac:dyDescent="0.25">
      <c r="A2533" t="s">
        <v>134</v>
      </c>
    </row>
    <row r="2534" spans="1:1" x14ac:dyDescent="0.25">
      <c r="A2534" t="s">
        <v>826</v>
      </c>
    </row>
    <row r="2535" spans="1:1" x14ac:dyDescent="0.25">
      <c r="A2535">
        <v>508</v>
      </c>
    </row>
    <row r="2536" spans="1:1" x14ac:dyDescent="0.25">
      <c r="A2536">
        <v>58</v>
      </c>
    </row>
    <row r="2537" spans="1:1" x14ac:dyDescent="0.25">
      <c r="A2537">
        <v>80</v>
      </c>
    </row>
    <row r="2538" spans="1:1" x14ac:dyDescent="0.25">
      <c r="A2538">
        <v>116</v>
      </c>
    </row>
    <row r="2539" spans="1:1" x14ac:dyDescent="0.25">
      <c r="A2539">
        <v>3</v>
      </c>
    </row>
    <row r="2540" spans="1:1" x14ac:dyDescent="0.25">
      <c r="A2540">
        <v>264</v>
      </c>
    </row>
    <row r="2541" spans="1:1" x14ac:dyDescent="0.25">
      <c r="A2541" t="s">
        <v>1175</v>
      </c>
    </row>
    <row r="2542" spans="1:1" x14ac:dyDescent="0.25">
      <c r="A2542" t="s">
        <v>135</v>
      </c>
    </row>
    <row r="2543" spans="1:1" x14ac:dyDescent="0.25">
      <c r="A2543" t="s">
        <v>826</v>
      </c>
    </row>
    <row r="2544" spans="1:1" x14ac:dyDescent="0.25">
      <c r="A2544">
        <v>1662</v>
      </c>
    </row>
    <row r="2545" spans="1:1" x14ac:dyDescent="0.25">
      <c r="A2545">
        <v>142</v>
      </c>
    </row>
    <row r="2546" spans="1:1" x14ac:dyDescent="0.25">
      <c r="A2546">
        <v>128</v>
      </c>
    </row>
    <row r="2547" spans="1:1" x14ac:dyDescent="0.25">
      <c r="A2547">
        <v>186</v>
      </c>
    </row>
    <row r="2548" spans="1:1" x14ac:dyDescent="0.25">
      <c r="A2548">
        <v>3</v>
      </c>
    </row>
    <row r="2549" spans="1:1" x14ac:dyDescent="0.25">
      <c r="A2549">
        <v>265</v>
      </c>
    </row>
    <row r="2550" spans="1:1" x14ac:dyDescent="0.25">
      <c r="A2550" t="s">
        <v>1176</v>
      </c>
    </row>
    <row r="2551" spans="1:1" x14ac:dyDescent="0.25">
      <c r="A2551" t="s">
        <v>136</v>
      </c>
    </row>
    <row r="2552" spans="1:1" x14ac:dyDescent="0.25">
      <c r="A2552" t="s">
        <v>813</v>
      </c>
    </row>
    <row r="2553" spans="1:1" x14ac:dyDescent="0.25">
      <c r="A2553">
        <v>578</v>
      </c>
    </row>
    <row r="2554" spans="1:1" x14ac:dyDescent="0.25">
      <c r="A2554">
        <v>75</v>
      </c>
    </row>
    <row r="2555" spans="1:1" x14ac:dyDescent="0.25">
      <c r="A2555">
        <v>59</v>
      </c>
    </row>
    <row r="2556" spans="1:1" x14ac:dyDescent="0.25">
      <c r="A2556">
        <v>128</v>
      </c>
    </row>
    <row r="2557" spans="1:1" x14ac:dyDescent="0.25">
      <c r="A2557">
        <v>3</v>
      </c>
    </row>
    <row r="2558" spans="1:1" x14ac:dyDescent="0.25">
      <c r="A2558">
        <v>266</v>
      </c>
    </row>
    <row r="2559" spans="1:1" x14ac:dyDescent="0.25">
      <c r="A2559" t="s">
        <v>1177</v>
      </c>
    </row>
    <row r="2560" spans="1:1" x14ac:dyDescent="0.25">
      <c r="A2560" t="s">
        <v>137</v>
      </c>
    </row>
    <row r="2561" spans="1:1" x14ac:dyDescent="0.25">
      <c r="A2561" t="s">
        <v>813</v>
      </c>
    </row>
    <row r="2562" spans="1:1" x14ac:dyDescent="0.25">
      <c r="A2562">
        <v>553</v>
      </c>
    </row>
    <row r="2563" spans="1:1" x14ac:dyDescent="0.25">
      <c r="A2563">
        <v>60</v>
      </c>
    </row>
    <row r="2564" spans="1:1" x14ac:dyDescent="0.25">
      <c r="A2564">
        <v>77</v>
      </c>
    </row>
    <row r="2565" spans="1:1" x14ac:dyDescent="0.25">
      <c r="A2565">
        <v>137</v>
      </c>
    </row>
    <row r="2566" spans="1:1" x14ac:dyDescent="0.25">
      <c r="A2566">
        <v>3</v>
      </c>
    </row>
    <row r="2567" spans="1:1" x14ac:dyDescent="0.25">
      <c r="A2567">
        <v>267</v>
      </c>
    </row>
    <row r="2568" spans="1:1" x14ac:dyDescent="0.25">
      <c r="A2568" t="s">
        <v>1178</v>
      </c>
    </row>
    <row r="2569" spans="1:1" x14ac:dyDescent="0.25">
      <c r="A2569" t="s">
        <v>138</v>
      </c>
    </row>
    <row r="2570" spans="1:1" x14ac:dyDescent="0.25">
      <c r="A2570" t="s">
        <v>816</v>
      </c>
    </row>
    <row r="2571" spans="1:1" x14ac:dyDescent="0.25">
      <c r="A2571">
        <v>1765</v>
      </c>
    </row>
    <row r="2572" spans="1:1" x14ac:dyDescent="0.25">
      <c r="A2572">
        <v>189</v>
      </c>
    </row>
    <row r="2573" spans="1:1" x14ac:dyDescent="0.25">
      <c r="A2573">
        <v>98</v>
      </c>
    </row>
    <row r="2574" spans="1:1" x14ac:dyDescent="0.25">
      <c r="A2574">
        <v>155</v>
      </c>
    </row>
    <row r="2575" spans="1:1" x14ac:dyDescent="0.25">
      <c r="A2575">
        <v>3</v>
      </c>
    </row>
    <row r="2576" spans="1:1" x14ac:dyDescent="0.25">
      <c r="A2576">
        <v>268</v>
      </c>
    </row>
    <row r="2577" spans="1:1" x14ac:dyDescent="0.25">
      <c r="A2577" t="s">
        <v>1179</v>
      </c>
    </row>
    <row r="2578" spans="1:1" x14ac:dyDescent="0.25">
      <c r="A2578" t="s">
        <v>139</v>
      </c>
    </row>
    <row r="2579" spans="1:1" x14ac:dyDescent="0.25">
      <c r="A2579" t="s">
        <v>813</v>
      </c>
    </row>
    <row r="2580" spans="1:1" x14ac:dyDescent="0.25">
      <c r="A2580">
        <v>553</v>
      </c>
    </row>
    <row r="2581" spans="1:1" x14ac:dyDescent="0.25">
      <c r="A2581">
        <v>60</v>
      </c>
    </row>
    <row r="2582" spans="1:1" x14ac:dyDescent="0.25">
      <c r="A2582">
        <v>77</v>
      </c>
    </row>
    <row r="2583" spans="1:1" x14ac:dyDescent="0.25">
      <c r="A2583">
        <v>137</v>
      </c>
    </row>
    <row r="2584" spans="1:1" x14ac:dyDescent="0.25">
      <c r="A2584">
        <v>3</v>
      </c>
    </row>
    <row r="2585" spans="1:1" x14ac:dyDescent="0.25">
      <c r="A2585">
        <v>269</v>
      </c>
    </row>
    <row r="2586" spans="1:1" x14ac:dyDescent="0.25">
      <c r="A2586" t="s">
        <v>1180</v>
      </c>
    </row>
    <row r="2587" spans="1:1" x14ac:dyDescent="0.25">
      <c r="A2587" t="s">
        <v>140</v>
      </c>
    </row>
    <row r="2588" spans="1:1" x14ac:dyDescent="0.25">
      <c r="A2588" t="s">
        <v>818</v>
      </c>
    </row>
    <row r="2589" spans="1:1" x14ac:dyDescent="0.25">
      <c r="A2589">
        <v>1224</v>
      </c>
    </row>
    <row r="2590" spans="1:1" x14ac:dyDescent="0.25">
      <c r="A2590">
        <v>98</v>
      </c>
    </row>
    <row r="2591" spans="1:1" x14ac:dyDescent="0.25">
      <c r="A2591">
        <v>162</v>
      </c>
    </row>
    <row r="2592" spans="1:1" x14ac:dyDescent="0.25">
      <c r="A2592">
        <v>155</v>
      </c>
    </row>
    <row r="2593" spans="1:1" x14ac:dyDescent="0.25">
      <c r="A2593">
        <v>3</v>
      </c>
    </row>
    <row r="2594" spans="1:1" x14ac:dyDescent="0.25">
      <c r="A2594">
        <v>270</v>
      </c>
    </row>
    <row r="2595" spans="1:1" x14ac:dyDescent="0.25">
      <c r="A2595" t="s">
        <v>1181</v>
      </c>
    </row>
    <row r="2596" spans="1:1" x14ac:dyDescent="0.25">
      <c r="A2596" t="s">
        <v>335</v>
      </c>
    </row>
    <row r="2597" spans="1:1" x14ac:dyDescent="0.25">
      <c r="A2597" t="s">
        <v>1182</v>
      </c>
    </row>
    <row r="2598" spans="1:1" x14ac:dyDescent="0.25">
      <c r="A2598">
        <v>598</v>
      </c>
    </row>
    <row r="2599" spans="1:1" x14ac:dyDescent="0.25">
      <c r="A2599">
        <v>71</v>
      </c>
    </row>
    <row r="2600" spans="1:1" x14ac:dyDescent="0.25">
      <c r="A2600">
        <v>77</v>
      </c>
    </row>
    <row r="2601" spans="1:1" x14ac:dyDescent="0.25">
      <c r="A2601">
        <v>120</v>
      </c>
    </row>
    <row r="2602" spans="1:1" x14ac:dyDescent="0.25">
      <c r="A2602">
        <v>3</v>
      </c>
    </row>
    <row r="2603" spans="1:1" x14ac:dyDescent="0.25">
      <c r="A2603">
        <v>271</v>
      </c>
    </row>
    <row r="2604" spans="1:1" x14ac:dyDescent="0.25">
      <c r="A2604" t="s">
        <v>1183</v>
      </c>
    </row>
    <row r="2605" spans="1:1" x14ac:dyDescent="0.25">
      <c r="A2605" t="s">
        <v>336</v>
      </c>
    </row>
    <row r="2606" spans="1:1" x14ac:dyDescent="0.25">
      <c r="A2606" t="s">
        <v>1182</v>
      </c>
    </row>
    <row r="2607" spans="1:1" x14ac:dyDescent="0.25">
      <c r="A2607">
        <v>1197</v>
      </c>
    </row>
    <row r="2608" spans="1:1" x14ac:dyDescent="0.25">
      <c r="A2608">
        <v>112</v>
      </c>
    </row>
    <row r="2609" spans="1:1" x14ac:dyDescent="0.25">
      <c r="A2609">
        <v>119</v>
      </c>
    </row>
    <row r="2610" spans="1:1" x14ac:dyDescent="0.25">
      <c r="A2610">
        <v>155</v>
      </c>
    </row>
    <row r="2611" spans="1:1" x14ac:dyDescent="0.25">
      <c r="A2611">
        <v>3</v>
      </c>
    </row>
    <row r="2612" spans="1:1" x14ac:dyDescent="0.25">
      <c r="A2612">
        <v>272</v>
      </c>
    </row>
    <row r="2613" spans="1:1" x14ac:dyDescent="0.25">
      <c r="A2613" t="s">
        <v>1184</v>
      </c>
    </row>
    <row r="2614" spans="1:1" x14ac:dyDescent="0.25">
      <c r="A2614" t="s">
        <v>337</v>
      </c>
    </row>
    <row r="2615" spans="1:1" x14ac:dyDescent="0.25">
      <c r="A2615" t="s">
        <v>1182</v>
      </c>
    </row>
    <row r="2616" spans="1:1" x14ac:dyDescent="0.25">
      <c r="A2616">
        <v>2323</v>
      </c>
    </row>
    <row r="2617" spans="1:1" x14ac:dyDescent="0.25">
      <c r="A2617">
        <v>173</v>
      </c>
    </row>
    <row r="2618" spans="1:1" x14ac:dyDescent="0.25">
      <c r="A2618">
        <v>176</v>
      </c>
    </row>
    <row r="2619" spans="1:1" x14ac:dyDescent="0.25">
      <c r="A2619">
        <v>190</v>
      </c>
    </row>
    <row r="2620" spans="1:1" x14ac:dyDescent="0.25">
      <c r="A2620">
        <v>3</v>
      </c>
    </row>
    <row r="2621" spans="1:1" x14ac:dyDescent="0.25">
      <c r="A2621">
        <v>273</v>
      </c>
    </row>
    <row r="2622" spans="1:1" x14ac:dyDescent="0.25">
      <c r="A2622" t="s">
        <v>1185</v>
      </c>
    </row>
    <row r="2623" spans="1:1" x14ac:dyDescent="0.25">
      <c r="A2623" t="s">
        <v>338</v>
      </c>
    </row>
    <row r="2624" spans="1:1" x14ac:dyDescent="0.25">
      <c r="A2624" t="s">
        <v>988</v>
      </c>
    </row>
    <row r="2625" spans="1:1" x14ac:dyDescent="0.25">
      <c r="A2625">
        <v>598</v>
      </c>
    </row>
    <row r="2626" spans="1:1" x14ac:dyDescent="0.25">
      <c r="A2626">
        <v>71</v>
      </c>
    </row>
    <row r="2627" spans="1:1" x14ac:dyDescent="0.25">
      <c r="A2627">
        <v>77</v>
      </c>
    </row>
    <row r="2628" spans="1:1" x14ac:dyDescent="0.25">
      <c r="A2628">
        <v>120</v>
      </c>
    </row>
    <row r="2629" spans="1:1" x14ac:dyDescent="0.25">
      <c r="A2629">
        <v>3</v>
      </c>
    </row>
    <row r="2630" spans="1:1" x14ac:dyDescent="0.25">
      <c r="A2630">
        <v>274</v>
      </c>
    </row>
    <row r="2631" spans="1:1" x14ac:dyDescent="0.25">
      <c r="A2631" t="s">
        <v>1186</v>
      </c>
    </row>
    <row r="2632" spans="1:1" x14ac:dyDescent="0.25">
      <c r="A2632" t="s">
        <v>339</v>
      </c>
    </row>
    <row r="2633" spans="1:1" x14ac:dyDescent="0.25">
      <c r="A2633" t="s">
        <v>1187</v>
      </c>
    </row>
    <row r="2634" spans="1:1" x14ac:dyDescent="0.25">
      <c r="A2634">
        <v>1227</v>
      </c>
    </row>
    <row r="2635" spans="1:1" x14ac:dyDescent="0.25">
      <c r="A2635">
        <v>134</v>
      </c>
    </row>
    <row r="2636" spans="1:1" x14ac:dyDescent="0.25">
      <c r="A2636">
        <v>78</v>
      </c>
    </row>
    <row r="2637" spans="1:1" x14ac:dyDescent="0.25">
      <c r="A2637">
        <v>172</v>
      </c>
    </row>
    <row r="2638" spans="1:1" x14ac:dyDescent="0.25">
      <c r="A2638">
        <v>3</v>
      </c>
    </row>
    <row r="2639" spans="1:1" x14ac:dyDescent="0.25">
      <c r="A2639">
        <v>275</v>
      </c>
    </row>
    <row r="2640" spans="1:1" x14ac:dyDescent="0.25">
      <c r="A2640" t="s">
        <v>1188</v>
      </c>
    </row>
    <row r="2641" spans="1:1" x14ac:dyDescent="0.25">
      <c r="A2641" t="s">
        <v>340</v>
      </c>
    </row>
    <row r="2642" spans="1:1" x14ac:dyDescent="0.25">
      <c r="A2642" t="s">
        <v>1187</v>
      </c>
    </row>
    <row r="2643" spans="1:1" x14ac:dyDescent="0.25">
      <c r="A2643">
        <v>2333</v>
      </c>
    </row>
    <row r="2644" spans="1:1" x14ac:dyDescent="0.25">
      <c r="A2644">
        <v>200</v>
      </c>
    </row>
    <row r="2645" spans="1:1" x14ac:dyDescent="0.25">
      <c r="A2645">
        <v>121</v>
      </c>
    </row>
    <row r="2646" spans="1:1" x14ac:dyDescent="0.25">
      <c r="A2646">
        <v>207</v>
      </c>
    </row>
    <row r="2647" spans="1:1" x14ac:dyDescent="0.25">
      <c r="A2647">
        <v>3</v>
      </c>
    </row>
    <row r="2648" spans="1:1" x14ac:dyDescent="0.25">
      <c r="A2648">
        <v>276</v>
      </c>
    </row>
    <row r="2649" spans="1:1" x14ac:dyDescent="0.25">
      <c r="A2649" t="s">
        <v>1189</v>
      </c>
    </row>
    <row r="2650" spans="1:1" x14ac:dyDescent="0.25">
      <c r="A2650" t="s">
        <v>141</v>
      </c>
    </row>
    <row r="2651" spans="1:1" x14ac:dyDescent="0.25">
      <c r="A2651" t="s">
        <v>822</v>
      </c>
    </row>
    <row r="2652" spans="1:1" x14ac:dyDescent="0.25">
      <c r="A2652">
        <v>765</v>
      </c>
    </row>
    <row r="2653" spans="1:1" x14ac:dyDescent="0.25">
      <c r="A2653">
        <v>106</v>
      </c>
    </row>
    <row r="2654" spans="1:1" x14ac:dyDescent="0.25">
      <c r="A2654">
        <v>61</v>
      </c>
    </row>
    <row r="2655" spans="1:1" x14ac:dyDescent="0.25">
      <c r="A2655">
        <v>120</v>
      </c>
    </row>
    <row r="2656" spans="1:1" x14ac:dyDescent="0.25">
      <c r="A2656">
        <v>3</v>
      </c>
    </row>
    <row r="2657" spans="1:1" x14ac:dyDescent="0.25">
      <c r="A2657">
        <v>277</v>
      </c>
    </row>
    <row r="2658" spans="1:1" x14ac:dyDescent="0.25">
      <c r="A2658" t="s">
        <v>1190</v>
      </c>
    </row>
    <row r="2659" spans="1:1" x14ac:dyDescent="0.25">
      <c r="A2659" t="s">
        <v>142</v>
      </c>
    </row>
    <row r="2660" spans="1:1" x14ac:dyDescent="0.25">
      <c r="A2660" t="s">
        <v>822</v>
      </c>
    </row>
    <row r="2661" spans="1:1" x14ac:dyDescent="0.25">
      <c r="A2661">
        <v>1920</v>
      </c>
    </row>
    <row r="2662" spans="1:1" x14ac:dyDescent="0.25">
      <c r="A2662">
        <v>185</v>
      </c>
    </row>
    <row r="2663" spans="1:1" x14ac:dyDescent="0.25">
      <c r="A2663">
        <v>124</v>
      </c>
    </row>
    <row r="2664" spans="1:1" x14ac:dyDescent="0.25">
      <c r="A2664">
        <v>155</v>
      </c>
    </row>
    <row r="2665" spans="1:1" x14ac:dyDescent="0.25">
      <c r="A2665">
        <v>3</v>
      </c>
    </row>
    <row r="2666" spans="1:1" x14ac:dyDescent="0.25">
      <c r="A2666">
        <v>278</v>
      </c>
    </row>
    <row r="2667" spans="1:1" x14ac:dyDescent="0.25">
      <c r="A2667" t="s">
        <v>1191</v>
      </c>
    </row>
    <row r="2668" spans="1:1" x14ac:dyDescent="0.25">
      <c r="A2668" t="s">
        <v>341</v>
      </c>
    </row>
    <row r="2669" spans="1:1" x14ac:dyDescent="0.25">
      <c r="A2669" t="s">
        <v>1007</v>
      </c>
    </row>
    <row r="2670" spans="1:1" x14ac:dyDescent="0.25">
      <c r="A2670">
        <v>765</v>
      </c>
    </row>
    <row r="2671" spans="1:1" x14ac:dyDescent="0.25">
      <c r="A2671">
        <v>106</v>
      </c>
    </row>
    <row r="2672" spans="1:1" x14ac:dyDescent="0.25">
      <c r="A2672">
        <v>61</v>
      </c>
    </row>
    <row r="2673" spans="1:1" x14ac:dyDescent="0.25">
      <c r="A2673">
        <v>120</v>
      </c>
    </row>
    <row r="2674" spans="1:1" x14ac:dyDescent="0.25">
      <c r="A2674">
        <v>3</v>
      </c>
    </row>
    <row r="2675" spans="1:1" x14ac:dyDescent="0.25">
      <c r="A2675">
        <v>279</v>
      </c>
    </row>
    <row r="2676" spans="1:1" x14ac:dyDescent="0.25">
      <c r="A2676" t="s">
        <v>1192</v>
      </c>
    </row>
    <row r="2677" spans="1:1" x14ac:dyDescent="0.25">
      <c r="A2677" t="s">
        <v>342</v>
      </c>
    </row>
    <row r="2678" spans="1:1" x14ac:dyDescent="0.25">
      <c r="A2678" t="s">
        <v>1007</v>
      </c>
    </row>
    <row r="2679" spans="1:1" x14ac:dyDescent="0.25">
      <c r="A2679">
        <v>2127</v>
      </c>
    </row>
    <row r="2680" spans="1:1" x14ac:dyDescent="0.25">
      <c r="A2680">
        <v>175</v>
      </c>
    </row>
    <row r="2681" spans="1:1" x14ac:dyDescent="0.25">
      <c r="A2681">
        <v>174</v>
      </c>
    </row>
    <row r="2682" spans="1:1" x14ac:dyDescent="0.25">
      <c r="A2682">
        <v>155</v>
      </c>
    </row>
    <row r="2683" spans="1:1" x14ac:dyDescent="0.25">
      <c r="A2683">
        <v>3</v>
      </c>
    </row>
    <row r="2684" spans="1:1" x14ac:dyDescent="0.25">
      <c r="A2684">
        <v>280</v>
      </c>
    </row>
    <row r="2685" spans="1:1" x14ac:dyDescent="0.25">
      <c r="A2685" t="s">
        <v>1193</v>
      </c>
    </row>
    <row r="2686" spans="1:1" x14ac:dyDescent="0.25">
      <c r="A2686" t="s">
        <v>537</v>
      </c>
    </row>
    <row r="2687" spans="1:1" x14ac:dyDescent="0.25">
      <c r="A2687" t="s">
        <v>997</v>
      </c>
    </row>
    <row r="2688" spans="1:1" x14ac:dyDescent="0.25">
      <c r="A2688">
        <v>539</v>
      </c>
    </row>
    <row r="2689" spans="1:1" x14ac:dyDescent="0.25">
      <c r="A2689">
        <v>79</v>
      </c>
    </row>
    <row r="2690" spans="1:1" x14ac:dyDescent="0.25">
      <c r="A2690">
        <v>59</v>
      </c>
    </row>
    <row r="2691" spans="1:1" x14ac:dyDescent="0.25">
      <c r="A2691">
        <v>99</v>
      </c>
    </row>
    <row r="2692" spans="1:1" x14ac:dyDescent="0.25">
      <c r="A2692">
        <v>3</v>
      </c>
    </row>
    <row r="2693" spans="1:1" x14ac:dyDescent="0.25">
      <c r="A2693">
        <v>281</v>
      </c>
    </row>
    <row r="2694" spans="1:1" x14ac:dyDescent="0.25">
      <c r="A2694" t="s">
        <v>1194</v>
      </c>
    </row>
    <row r="2695" spans="1:1" x14ac:dyDescent="0.25">
      <c r="A2695" t="s">
        <v>538</v>
      </c>
    </row>
    <row r="2696" spans="1:1" x14ac:dyDescent="0.25">
      <c r="A2696" t="s">
        <v>997</v>
      </c>
    </row>
    <row r="2697" spans="1:1" x14ac:dyDescent="0.25">
      <c r="A2697">
        <v>966</v>
      </c>
    </row>
    <row r="2698" spans="1:1" x14ac:dyDescent="0.25">
      <c r="A2698">
        <v>117</v>
      </c>
    </row>
    <row r="2699" spans="1:1" x14ac:dyDescent="0.25">
      <c r="A2699">
        <v>90</v>
      </c>
    </row>
    <row r="2700" spans="1:1" x14ac:dyDescent="0.25">
      <c r="A2700">
        <v>116</v>
      </c>
    </row>
    <row r="2701" spans="1:1" x14ac:dyDescent="0.25">
      <c r="A2701">
        <v>3</v>
      </c>
    </row>
    <row r="2702" spans="1:1" x14ac:dyDescent="0.25">
      <c r="A2702">
        <v>282</v>
      </c>
    </row>
    <row r="2703" spans="1:1" x14ac:dyDescent="0.25">
      <c r="A2703" t="s">
        <v>1195</v>
      </c>
    </row>
    <row r="2704" spans="1:1" x14ac:dyDescent="0.25">
      <c r="A2704" t="s">
        <v>539</v>
      </c>
    </row>
    <row r="2705" spans="1:1" x14ac:dyDescent="0.25">
      <c r="A2705" t="s">
        <v>997</v>
      </c>
    </row>
    <row r="2706" spans="1:1" x14ac:dyDescent="0.25">
      <c r="A2706">
        <v>3093</v>
      </c>
    </row>
    <row r="2707" spans="1:1" x14ac:dyDescent="0.25">
      <c r="A2707">
        <v>237</v>
      </c>
    </row>
    <row r="2708" spans="1:1" x14ac:dyDescent="0.25">
      <c r="A2708">
        <v>195</v>
      </c>
    </row>
    <row r="2709" spans="1:1" x14ac:dyDescent="0.25">
      <c r="A2709">
        <v>169</v>
      </c>
    </row>
    <row r="2710" spans="1:1" x14ac:dyDescent="0.25">
      <c r="A2710">
        <v>3</v>
      </c>
    </row>
    <row r="2711" spans="1:1" x14ac:dyDescent="0.25">
      <c r="A2711">
        <v>283</v>
      </c>
    </row>
    <row r="2712" spans="1:1" x14ac:dyDescent="0.25">
      <c r="A2712" t="s">
        <v>1196</v>
      </c>
    </row>
    <row r="2713" spans="1:1" x14ac:dyDescent="0.25">
      <c r="A2713" t="s">
        <v>143</v>
      </c>
    </row>
    <row r="2714" spans="1:1" x14ac:dyDescent="0.25">
      <c r="A2714" t="s">
        <v>1197</v>
      </c>
    </row>
    <row r="2715" spans="1:1" x14ac:dyDescent="0.25">
      <c r="A2715">
        <v>791</v>
      </c>
    </row>
    <row r="2716" spans="1:1" x14ac:dyDescent="0.25">
      <c r="A2716">
        <v>93</v>
      </c>
    </row>
    <row r="2717" spans="1:1" x14ac:dyDescent="0.25">
      <c r="A2717">
        <v>87</v>
      </c>
    </row>
    <row r="2718" spans="1:1" x14ac:dyDescent="0.25">
      <c r="A2718">
        <v>120</v>
      </c>
    </row>
    <row r="2719" spans="1:1" x14ac:dyDescent="0.25">
      <c r="A2719">
        <v>3</v>
      </c>
    </row>
    <row r="2720" spans="1:1" x14ac:dyDescent="0.25">
      <c r="A2720">
        <v>284</v>
      </c>
    </row>
    <row r="2721" spans="1:1" x14ac:dyDescent="0.25">
      <c r="A2721" t="s">
        <v>1198</v>
      </c>
    </row>
    <row r="2722" spans="1:1" x14ac:dyDescent="0.25">
      <c r="A2722" t="s">
        <v>144</v>
      </c>
    </row>
    <row r="2723" spans="1:1" x14ac:dyDescent="0.25">
      <c r="A2723" t="s">
        <v>816</v>
      </c>
    </row>
    <row r="2724" spans="1:1" x14ac:dyDescent="0.25">
      <c r="A2724">
        <v>2270</v>
      </c>
    </row>
    <row r="2725" spans="1:1" x14ac:dyDescent="0.25">
      <c r="A2725">
        <v>192</v>
      </c>
    </row>
    <row r="2726" spans="1:1" x14ac:dyDescent="0.25">
      <c r="A2726">
        <v>150</v>
      </c>
    </row>
    <row r="2727" spans="1:1" x14ac:dyDescent="0.25">
      <c r="A2727">
        <v>172</v>
      </c>
    </row>
    <row r="2728" spans="1:1" x14ac:dyDescent="0.25">
      <c r="A2728">
        <v>3</v>
      </c>
    </row>
    <row r="2729" spans="1:1" x14ac:dyDescent="0.25">
      <c r="A2729">
        <v>285</v>
      </c>
    </row>
    <row r="2730" spans="1:1" x14ac:dyDescent="0.25">
      <c r="A2730" t="s">
        <v>1199</v>
      </c>
    </row>
    <row r="2731" spans="1:1" x14ac:dyDescent="0.25">
      <c r="A2731" t="s">
        <v>343</v>
      </c>
    </row>
    <row r="2732" spans="1:1" x14ac:dyDescent="0.25">
      <c r="A2732" t="s">
        <v>988</v>
      </c>
    </row>
    <row r="2733" spans="1:1" x14ac:dyDescent="0.25">
      <c r="A2733">
        <v>810</v>
      </c>
    </row>
    <row r="2734" spans="1:1" x14ac:dyDescent="0.25">
      <c r="A2734">
        <v>74</v>
      </c>
    </row>
    <row r="2735" spans="1:1" x14ac:dyDescent="0.25">
      <c r="A2735">
        <v>110</v>
      </c>
    </row>
    <row r="2736" spans="1:1" x14ac:dyDescent="0.25">
      <c r="A2736">
        <v>155</v>
      </c>
    </row>
    <row r="2737" spans="1:1" x14ac:dyDescent="0.25">
      <c r="A2737">
        <v>3</v>
      </c>
    </row>
    <row r="2738" spans="1:1" x14ac:dyDescent="0.25">
      <c r="A2738">
        <v>286</v>
      </c>
    </row>
    <row r="2739" spans="1:1" x14ac:dyDescent="0.25">
      <c r="A2739" t="s">
        <v>1200</v>
      </c>
    </row>
    <row r="2740" spans="1:1" x14ac:dyDescent="0.25">
      <c r="A2740" t="s">
        <v>344</v>
      </c>
    </row>
    <row r="2741" spans="1:1" x14ac:dyDescent="0.25">
      <c r="A2741" t="s">
        <v>1201</v>
      </c>
    </row>
    <row r="2742" spans="1:1" x14ac:dyDescent="0.25">
      <c r="A2742">
        <v>2628</v>
      </c>
    </row>
    <row r="2743" spans="1:1" x14ac:dyDescent="0.25">
      <c r="A2743">
        <v>241</v>
      </c>
    </row>
    <row r="2744" spans="1:1" x14ac:dyDescent="0.25">
      <c r="A2744">
        <v>144</v>
      </c>
    </row>
    <row r="2745" spans="1:1" x14ac:dyDescent="0.25">
      <c r="A2745">
        <v>155</v>
      </c>
    </row>
    <row r="2746" spans="1:1" x14ac:dyDescent="0.25">
      <c r="A2746">
        <v>3</v>
      </c>
    </row>
    <row r="2747" spans="1:1" x14ac:dyDescent="0.25">
      <c r="A2747">
        <v>287</v>
      </c>
    </row>
    <row r="2748" spans="1:1" x14ac:dyDescent="0.25">
      <c r="A2748" t="s">
        <v>1202</v>
      </c>
    </row>
    <row r="2749" spans="1:1" x14ac:dyDescent="0.25">
      <c r="A2749" t="s">
        <v>540</v>
      </c>
    </row>
    <row r="2750" spans="1:1" x14ac:dyDescent="0.25">
      <c r="A2750" t="s">
        <v>826</v>
      </c>
    </row>
    <row r="2751" spans="1:1" x14ac:dyDescent="0.25">
      <c r="A2751">
        <v>1002</v>
      </c>
    </row>
    <row r="2752" spans="1:1" x14ac:dyDescent="0.25">
      <c r="A2752">
        <v>104</v>
      </c>
    </row>
    <row r="2753" spans="1:1" x14ac:dyDescent="0.25">
      <c r="A2753">
        <v>92</v>
      </c>
    </row>
    <row r="2754" spans="1:1" x14ac:dyDescent="0.25">
      <c r="A2754">
        <v>155</v>
      </c>
    </row>
    <row r="2755" spans="1:1" x14ac:dyDescent="0.25">
      <c r="A2755">
        <v>3</v>
      </c>
    </row>
    <row r="2756" spans="1:1" x14ac:dyDescent="0.25">
      <c r="A2756">
        <v>288</v>
      </c>
    </row>
    <row r="2757" spans="1:1" x14ac:dyDescent="0.25">
      <c r="A2757" t="s">
        <v>1203</v>
      </c>
    </row>
    <row r="2758" spans="1:1" x14ac:dyDescent="0.25">
      <c r="A2758" t="s">
        <v>541</v>
      </c>
    </row>
    <row r="2759" spans="1:1" x14ac:dyDescent="0.25">
      <c r="A2759" t="s">
        <v>826</v>
      </c>
    </row>
    <row r="2760" spans="1:1" x14ac:dyDescent="0.25">
      <c r="A2760">
        <v>1968</v>
      </c>
    </row>
    <row r="2761" spans="1:1" x14ac:dyDescent="0.25">
      <c r="A2761">
        <v>159</v>
      </c>
    </row>
    <row r="2762" spans="1:1" x14ac:dyDescent="0.25">
      <c r="A2762">
        <v>145</v>
      </c>
    </row>
    <row r="2763" spans="1:1" x14ac:dyDescent="0.25">
      <c r="A2763">
        <v>190</v>
      </c>
    </row>
    <row r="2764" spans="1:1" x14ac:dyDescent="0.25">
      <c r="A2764">
        <v>3</v>
      </c>
    </row>
    <row r="2765" spans="1:1" x14ac:dyDescent="0.25">
      <c r="A2765">
        <v>289</v>
      </c>
    </row>
    <row r="2766" spans="1:1" x14ac:dyDescent="0.25">
      <c r="A2766" t="s">
        <v>1204</v>
      </c>
    </row>
    <row r="2767" spans="1:1" x14ac:dyDescent="0.25">
      <c r="A2767" t="s">
        <v>542</v>
      </c>
    </row>
    <row r="2768" spans="1:1" x14ac:dyDescent="0.25">
      <c r="A2768" t="s">
        <v>826</v>
      </c>
    </row>
    <row r="2769" spans="1:1" x14ac:dyDescent="0.25">
      <c r="A2769">
        <v>4431</v>
      </c>
    </row>
    <row r="2770" spans="1:1" x14ac:dyDescent="0.25">
      <c r="A2770">
        <v>290</v>
      </c>
    </row>
    <row r="2771" spans="1:1" x14ac:dyDescent="0.25">
      <c r="A2771">
        <v>166</v>
      </c>
    </row>
    <row r="2772" spans="1:1" x14ac:dyDescent="0.25">
      <c r="A2772">
        <v>284</v>
      </c>
    </row>
    <row r="2773" spans="1:1" x14ac:dyDescent="0.25">
      <c r="A2773">
        <v>3</v>
      </c>
    </row>
    <row r="2774" spans="1:1" x14ac:dyDescent="0.25">
      <c r="A2774">
        <v>290</v>
      </c>
    </row>
    <row r="2775" spans="1:1" x14ac:dyDescent="0.25">
      <c r="A2775" t="s">
        <v>1205</v>
      </c>
    </row>
    <row r="2776" spans="1:1" x14ac:dyDescent="0.25">
      <c r="A2776" t="s">
        <v>543</v>
      </c>
    </row>
    <row r="2777" spans="1:1" x14ac:dyDescent="0.25">
      <c r="A2777" t="s">
        <v>1206</v>
      </c>
    </row>
    <row r="2778" spans="1:1" x14ac:dyDescent="0.25">
      <c r="A2778">
        <v>768</v>
      </c>
    </row>
    <row r="2779" spans="1:1" x14ac:dyDescent="0.25">
      <c r="A2779">
        <v>80</v>
      </c>
    </row>
    <row r="2780" spans="1:1" x14ac:dyDescent="0.25">
      <c r="A2780">
        <v>126</v>
      </c>
    </row>
    <row r="2781" spans="1:1" x14ac:dyDescent="0.25">
      <c r="A2781">
        <v>104</v>
      </c>
    </row>
    <row r="2782" spans="1:1" x14ac:dyDescent="0.25">
      <c r="A2782">
        <v>3</v>
      </c>
    </row>
    <row r="2783" spans="1:1" x14ac:dyDescent="0.25">
      <c r="A2783">
        <v>291</v>
      </c>
    </row>
    <row r="2784" spans="1:1" x14ac:dyDescent="0.25">
      <c r="A2784" t="s">
        <v>1207</v>
      </c>
    </row>
    <row r="2785" spans="1:1" x14ac:dyDescent="0.25">
      <c r="A2785" t="s">
        <v>544</v>
      </c>
    </row>
    <row r="2786" spans="1:1" x14ac:dyDescent="0.25">
      <c r="A2786" t="s">
        <v>816</v>
      </c>
    </row>
    <row r="2787" spans="1:1" x14ac:dyDescent="0.25">
      <c r="A2787">
        <v>1969</v>
      </c>
    </row>
    <row r="2788" spans="1:1" x14ac:dyDescent="0.25">
      <c r="A2788">
        <v>199</v>
      </c>
    </row>
    <row r="2789" spans="1:1" x14ac:dyDescent="0.25">
      <c r="A2789">
        <v>112</v>
      </c>
    </row>
    <row r="2790" spans="1:1" x14ac:dyDescent="0.25">
      <c r="A2790">
        <v>156</v>
      </c>
    </row>
    <row r="2791" spans="1:1" x14ac:dyDescent="0.25">
      <c r="A2791">
        <v>3</v>
      </c>
    </row>
    <row r="2792" spans="1:1" x14ac:dyDescent="0.25">
      <c r="A2792">
        <v>292</v>
      </c>
    </row>
    <row r="2793" spans="1:1" x14ac:dyDescent="0.25">
      <c r="A2793" t="s">
        <v>1208</v>
      </c>
    </row>
    <row r="2794" spans="1:1" x14ac:dyDescent="0.25">
      <c r="A2794" t="s">
        <v>545</v>
      </c>
    </row>
    <row r="2795" spans="1:1" x14ac:dyDescent="0.25">
      <c r="A2795" t="s">
        <v>1209</v>
      </c>
    </row>
    <row r="2796" spans="1:1" x14ac:dyDescent="0.25">
      <c r="A2796">
        <v>393</v>
      </c>
    </row>
    <row r="2797" spans="1:1" x14ac:dyDescent="0.25">
      <c r="A2797">
        <v>153</v>
      </c>
    </row>
    <row r="2798" spans="1:1" x14ac:dyDescent="0.25">
      <c r="A2798">
        <v>73</v>
      </c>
    </row>
    <row r="2799" spans="1:1" x14ac:dyDescent="0.25">
      <c r="A2799">
        <v>1</v>
      </c>
    </row>
    <row r="2800" spans="1:1" x14ac:dyDescent="0.25">
      <c r="A2800">
        <v>3</v>
      </c>
    </row>
    <row r="2801" spans="1:1" x14ac:dyDescent="0.25">
      <c r="A2801">
        <v>293</v>
      </c>
    </row>
    <row r="2802" spans="1:1" x14ac:dyDescent="0.25">
      <c r="A2802" t="s">
        <v>1210</v>
      </c>
    </row>
    <row r="2803" spans="1:1" x14ac:dyDescent="0.25">
      <c r="A2803" t="s">
        <v>145</v>
      </c>
    </row>
    <row r="2804" spans="1:1" x14ac:dyDescent="0.25">
      <c r="A2804" t="s">
        <v>826</v>
      </c>
    </row>
    <row r="2805" spans="1:1" x14ac:dyDescent="0.25">
      <c r="A2805">
        <v>671</v>
      </c>
    </row>
    <row r="2806" spans="1:1" x14ac:dyDescent="0.25">
      <c r="A2806">
        <v>92</v>
      </c>
    </row>
    <row r="2807" spans="1:1" x14ac:dyDescent="0.25">
      <c r="A2807">
        <v>42</v>
      </c>
    </row>
    <row r="2808" spans="1:1" x14ac:dyDescent="0.25">
      <c r="A2808">
        <v>162</v>
      </c>
    </row>
    <row r="2809" spans="1:1" x14ac:dyDescent="0.25">
      <c r="A2809">
        <v>3</v>
      </c>
    </row>
    <row r="2810" spans="1:1" x14ac:dyDescent="0.25">
      <c r="A2810">
        <v>294</v>
      </c>
    </row>
    <row r="2811" spans="1:1" x14ac:dyDescent="0.25">
      <c r="A2811" t="s">
        <v>1211</v>
      </c>
    </row>
    <row r="2812" spans="1:1" x14ac:dyDescent="0.25">
      <c r="A2812" t="s">
        <v>146</v>
      </c>
    </row>
    <row r="2813" spans="1:1" x14ac:dyDescent="0.25">
      <c r="A2813" t="s">
        <v>826</v>
      </c>
    </row>
    <row r="2814" spans="1:1" x14ac:dyDescent="0.25">
      <c r="A2814">
        <v>1327</v>
      </c>
    </row>
    <row r="2815" spans="1:1" x14ac:dyDescent="0.25">
      <c r="A2815">
        <v>134</v>
      </c>
    </row>
    <row r="2816" spans="1:1" x14ac:dyDescent="0.25">
      <c r="A2816">
        <v>81</v>
      </c>
    </row>
    <row r="2817" spans="1:1" x14ac:dyDescent="0.25">
      <c r="A2817">
        <v>197</v>
      </c>
    </row>
    <row r="2818" spans="1:1" x14ac:dyDescent="0.25">
      <c r="A2818">
        <v>3</v>
      </c>
    </row>
    <row r="2819" spans="1:1" x14ac:dyDescent="0.25">
      <c r="A2819">
        <v>295</v>
      </c>
    </row>
    <row r="2820" spans="1:1" x14ac:dyDescent="0.25">
      <c r="A2820" t="s">
        <v>1212</v>
      </c>
    </row>
    <row r="2821" spans="1:1" x14ac:dyDescent="0.25">
      <c r="A2821" t="s">
        <v>147</v>
      </c>
    </row>
    <row r="2822" spans="1:1" x14ac:dyDescent="0.25">
      <c r="A2822" t="s">
        <v>826</v>
      </c>
    </row>
    <row r="2823" spans="1:1" x14ac:dyDescent="0.25">
      <c r="A2823">
        <v>2347</v>
      </c>
    </row>
    <row r="2824" spans="1:1" x14ac:dyDescent="0.25">
      <c r="A2824">
        <v>179</v>
      </c>
    </row>
    <row r="2825" spans="1:1" x14ac:dyDescent="0.25">
      <c r="A2825">
        <v>137</v>
      </c>
    </row>
    <row r="2826" spans="1:1" x14ac:dyDescent="0.25">
      <c r="A2826">
        <v>232</v>
      </c>
    </row>
    <row r="2827" spans="1:1" x14ac:dyDescent="0.25">
      <c r="A2827">
        <v>3</v>
      </c>
    </row>
    <row r="2828" spans="1:1" x14ac:dyDescent="0.25">
      <c r="A2828">
        <v>296</v>
      </c>
    </row>
    <row r="2829" spans="1:1" x14ac:dyDescent="0.25">
      <c r="A2829" t="s">
        <v>1213</v>
      </c>
    </row>
    <row r="2830" spans="1:1" x14ac:dyDescent="0.25">
      <c r="A2830" t="s">
        <v>345</v>
      </c>
    </row>
    <row r="2831" spans="1:1" x14ac:dyDescent="0.25">
      <c r="A2831" t="s">
        <v>901</v>
      </c>
    </row>
    <row r="2832" spans="1:1" x14ac:dyDescent="0.25">
      <c r="A2832">
        <v>817</v>
      </c>
    </row>
    <row r="2833" spans="1:1" x14ac:dyDescent="0.25">
      <c r="A2833">
        <v>99</v>
      </c>
    </row>
    <row r="2834" spans="1:1" x14ac:dyDescent="0.25">
      <c r="A2834">
        <v>54</v>
      </c>
    </row>
    <row r="2835" spans="1:1" x14ac:dyDescent="0.25">
      <c r="A2835">
        <v>176</v>
      </c>
    </row>
    <row r="2836" spans="1:1" x14ac:dyDescent="0.25">
      <c r="A2836">
        <v>3</v>
      </c>
    </row>
    <row r="2837" spans="1:1" x14ac:dyDescent="0.25">
      <c r="A2837">
        <v>297</v>
      </c>
    </row>
    <row r="2838" spans="1:1" x14ac:dyDescent="0.25">
      <c r="A2838" t="s">
        <v>1214</v>
      </c>
    </row>
    <row r="2839" spans="1:1" x14ac:dyDescent="0.25">
      <c r="A2839" t="s">
        <v>346</v>
      </c>
    </row>
    <row r="2840" spans="1:1" x14ac:dyDescent="0.25">
      <c r="A2840" t="s">
        <v>901</v>
      </c>
    </row>
    <row r="2841" spans="1:1" x14ac:dyDescent="0.25">
      <c r="A2841">
        <v>2829</v>
      </c>
    </row>
    <row r="2842" spans="1:1" x14ac:dyDescent="0.25">
      <c r="A2842">
        <v>209</v>
      </c>
    </row>
    <row r="2843" spans="1:1" x14ac:dyDescent="0.25">
      <c r="A2843">
        <v>114</v>
      </c>
    </row>
    <row r="2844" spans="1:1" x14ac:dyDescent="0.25">
      <c r="A2844">
        <v>302</v>
      </c>
    </row>
    <row r="2845" spans="1:1" x14ac:dyDescent="0.25">
      <c r="A2845">
        <v>3</v>
      </c>
    </row>
    <row r="2846" spans="1:1" x14ac:dyDescent="0.25">
      <c r="A2846">
        <v>298</v>
      </c>
    </row>
    <row r="2847" spans="1:1" x14ac:dyDescent="0.25">
      <c r="A2847" t="s">
        <v>1215</v>
      </c>
    </row>
    <row r="2848" spans="1:1" x14ac:dyDescent="0.25">
      <c r="A2848" t="s">
        <v>347</v>
      </c>
    </row>
    <row r="2849" spans="1:1" x14ac:dyDescent="0.25">
      <c r="A2849" t="s">
        <v>871</v>
      </c>
    </row>
    <row r="2850" spans="1:1" x14ac:dyDescent="0.25">
      <c r="A2850">
        <v>364</v>
      </c>
    </row>
    <row r="2851" spans="1:1" x14ac:dyDescent="0.25">
      <c r="A2851">
        <v>36</v>
      </c>
    </row>
    <row r="2852" spans="1:1" x14ac:dyDescent="0.25">
      <c r="A2852">
        <v>71</v>
      </c>
    </row>
    <row r="2853" spans="1:1" x14ac:dyDescent="0.25">
      <c r="A2853">
        <v>137</v>
      </c>
    </row>
    <row r="2854" spans="1:1" x14ac:dyDescent="0.25">
      <c r="A2854">
        <v>3</v>
      </c>
    </row>
    <row r="2855" spans="1:1" x14ac:dyDescent="0.25">
      <c r="A2855">
        <v>299</v>
      </c>
    </row>
    <row r="2856" spans="1:1" x14ac:dyDescent="0.25">
      <c r="A2856" t="s">
        <v>1216</v>
      </c>
    </row>
    <row r="2857" spans="1:1" x14ac:dyDescent="0.25">
      <c r="A2857" t="s">
        <v>348</v>
      </c>
    </row>
    <row r="2858" spans="1:1" x14ac:dyDescent="0.25">
      <c r="A2858" t="s">
        <v>1076</v>
      </c>
    </row>
    <row r="2859" spans="1:1" x14ac:dyDescent="0.25">
      <c r="A2859">
        <v>993</v>
      </c>
    </row>
    <row r="2860" spans="1:1" x14ac:dyDescent="0.25">
      <c r="A2860">
        <v>82</v>
      </c>
    </row>
    <row r="2861" spans="1:1" x14ac:dyDescent="0.25">
      <c r="A2861">
        <v>215</v>
      </c>
    </row>
    <row r="2862" spans="1:1" x14ac:dyDescent="0.25">
      <c r="A2862">
        <v>102</v>
      </c>
    </row>
    <row r="2863" spans="1:1" x14ac:dyDescent="0.25">
      <c r="A2863">
        <v>3</v>
      </c>
    </row>
    <row r="2864" spans="1:1" x14ac:dyDescent="0.25">
      <c r="A2864">
        <v>300</v>
      </c>
    </row>
    <row r="2865" spans="1:1" x14ac:dyDescent="0.25">
      <c r="A2865" t="s">
        <v>1217</v>
      </c>
    </row>
    <row r="2866" spans="1:1" x14ac:dyDescent="0.25">
      <c r="A2866" t="s">
        <v>349</v>
      </c>
    </row>
    <row r="2867" spans="1:1" x14ac:dyDescent="0.25">
      <c r="A2867" t="s">
        <v>826</v>
      </c>
    </row>
    <row r="2868" spans="1:1" x14ac:dyDescent="0.25">
      <c r="A2868">
        <v>739</v>
      </c>
    </row>
    <row r="2869" spans="1:1" x14ac:dyDescent="0.25">
      <c r="A2869">
        <v>84</v>
      </c>
    </row>
    <row r="2870" spans="1:1" x14ac:dyDescent="0.25">
      <c r="A2870">
        <v>79</v>
      </c>
    </row>
    <row r="2871" spans="1:1" x14ac:dyDescent="0.25">
      <c r="A2871">
        <v>137</v>
      </c>
    </row>
    <row r="2872" spans="1:1" x14ac:dyDescent="0.25">
      <c r="A2872">
        <v>3</v>
      </c>
    </row>
    <row r="2873" spans="1:1" x14ac:dyDescent="0.25">
      <c r="A2873">
        <v>301</v>
      </c>
    </row>
    <row r="2874" spans="1:1" x14ac:dyDescent="0.25">
      <c r="A2874" t="s">
        <v>1218</v>
      </c>
    </row>
    <row r="2875" spans="1:1" x14ac:dyDescent="0.25">
      <c r="A2875" t="s">
        <v>350</v>
      </c>
    </row>
    <row r="2876" spans="1:1" x14ac:dyDescent="0.25">
      <c r="A2876" t="s">
        <v>826</v>
      </c>
    </row>
    <row r="2877" spans="1:1" x14ac:dyDescent="0.25">
      <c r="A2877">
        <v>1496</v>
      </c>
    </row>
    <row r="2878" spans="1:1" x14ac:dyDescent="0.25">
      <c r="A2878">
        <v>132</v>
      </c>
    </row>
    <row r="2879" spans="1:1" x14ac:dyDescent="0.25">
      <c r="A2879">
        <v>127</v>
      </c>
    </row>
    <row r="2880" spans="1:1" x14ac:dyDescent="0.25">
      <c r="A2880">
        <v>172</v>
      </c>
    </row>
    <row r="2881" spans="1:1" x14ac:dyDescent="0.25">
      <c r="A2881">
        <v>3</v>
      </c>
    </row>
    <row r="2882" spans="1:1" x14ac:dyDescent="0.25">
      <c r="A2882">
        <v>302</v>
      </c>
    </row>
    <row r="2883" spans="1:1" x14ac:dyDescent="0.25">
      <c r="A2883" t="s">
        <v>1219</v>
      </c>
    </row>
    <row r="2884" spans="1:1" x14ac:dyDescent="0.25">
      <c r="A2884" t="s">
        <v>546</v>
      </c>
    </row>
    <row r="2885" spans="1:1" x14ac:dyDescent="0.25">
      <c r="A2885" t="s">
        <v>1220</v>
      </c>
    </row>
    <row r="2886" spans="1:1" x14ac:dyDescent="0.25">
      <c r="A2886">
        <v>1476</v>
      </c>
    </row>
    <row r="2887" spans="1:1" x14ac:dyDescent="0.25">
      <c r="A2887">
        <v>141</v>
      </c>
    </row>
    <row r="2888" spans="1:1" x14ac:dyDescent="0.25">
      <c r="A2888">
        <v>136</v>
      </c>
    </row>
    <row r="2889" spans="1:1" x14ac:dyDescent="0.25">
      <c r="A2889">
        <v>137</v>
      </c>
    </row>
    <row r="2890" spans="1:1" x14ac:dyDescent="0.25">
      <c r="A2890">
        <v>3</v>
      </c>
    </row>
    <row r="2891" spans="1:1" x14ac:dyDescent="0.25">
      <c r="A2891">
        <v>303</v>
      </c>
    </row>
    <row r="2892" spans="1:1" x14ac:dyDescent="0.25">
      <c r="A2892" t="s">
        <v>1221</v>
      </c>
    </row>
    <row r="2893" spans="1:1" x14ac:dyDescent="0.25">
      <c r="A2893" t="s">
        <v>547</v>
      </c>
    </row>
    <row r="2894" spans="1:1" x14ac:dyDescent="0.25">
      <c r="A2894" t="s">
        <v>1222</v>
      </c>
    </row>
    <row r="2895" spans="1:1" x14ac:dyDescent="0.25">
      <c r="A2895">
        <v>1634</v>
      </c>
    </row>
    <row r="2896" spans="1:1" x14ac:dyDescent="0.25">
      <c r="A2896">
        <v>155</v>
      </c>
    </row>
    <row r="2897" spans="1:1" x14ac:dyDescent="0.25">
      <c r="A2897">
        <v>141</v>
      </c>
    </row>
    <row r="2898" spans="1:1" x14ac:dyDescent="0.25">
      <c r="A2898">
        <v>137</v>
      </c>
    </row>
    <row r="2899" spans="1:1" x14ac:dyDescent="0.25">
      <c r="A2899">
        <v>3</v>
      </c>
    </row>
    <row r="2900" spans="1:1" x14ac:dyDescent="0.25">
      <c r="A2900">
        <v>304</v>
      </c>
    </row>
    <row r="2901" spans="1:1" x14ac:dyDescent="0.25">
      <c r="A2901" t="s">
        <v>1223</v>
      </c>
    </row>
    <row r="2902" spans="1:1" x14ac:dyDescent="0.25">
      <c r="A2902" t="s">
        <v>148</v>
      </c>
    </row>
    <row r="2903" spans="1:1" x14ac:dyDescent="0.25">
      <c r="A2903" t="s">
        <v>1224</v>
      </c>
    </row>
    <row r="2904" spans="1:1" x14ac:dyDescent="0.25">
      <c r="A2904">
        <v>1307</v>
      </c>
    </row>
    <row r="2905" spans="1:1" x14ac:dyDescent="0.25">
      <c r="A2905">
        <v>121</v>
      </c>
    </row>
    <row r="2906" spans="1:1" x14ac:dyDescent="0.25">
      <c r="A2906">
        <v>141</v>
      </c>
    </row>
    <row r="2907" spans="1:1" x14ac:dyDescent="0.25">
      <c r="A2907">
        <v>137</v>
      </c>
    </row>
    <row r="2908" spans="1:1" x14ac:dyDescent="0.25">
      <c r="A2908">
        <v>3</v>
      </c>
    </row>
    <row r="2909" spans="1:1" x14ac:dyDescent="0.25">
      <c r="A2909">
        <v>305</v>
      </c>
    </row>
    <row r="2910" spans="1:1" x14ac:dyDescent="0.25">
      <c r="A2910" t="s">
        <v>1225</v>
      </c>
    </row>
    <row r="2911" spans="1:1" x14ac:dyDescent="0.25">
      <c r="A2911" t="s">
        <v>149</v>
      </c>
    </row>
    <row r="2912" spans="1:1" x14ac:dyDescent="0.25">
      <c r="A2912" t="s">
        <v>1224</v>
      </c>
    </row>
    <row r="2913" spans="1:1" x14ac:dyDescent="0.25">
      <c r="A2913">
        <v>2056</v>
      </c>
    </row>
    <row r="2914" spans="1:1" x14ac:dyDescent="0.25">
      <c r="A2914">
        <v>158</v>
      </c>
    </row>
    <row r="2915" spans="1:1" x14ac:dyDescent="0.25">
      <c r="A2915">
        <v>198</v>
      </c>
    </row>
    <row r="2916" spans="1:1" x14ac:dyDescent="0.25">
      <c r="A2916">
        <v>155</v>
      </c>
    </row>
    <row r="2917" spans="1:1" x14ac:dyDescent="0.25">
      <c r="A2917">
        <v>3</v>
      </c>
    </row>
    <row r="2918" spans="1:1" x14ac:dyDescent="0.25">
      <c r="A2918">
        <v>306</v>
      </c>
    </row>
    <row r="2919" spans="1:1" x14ac:dyDescent="0.25">
      <c r="A2919" t="s">
        <v>1226</v>
      </c>
    </row>
    <row r="2920" spans="1:1" x14ac:dyDescent="0.25">
      <c r="A2920" t="s">
        <v>150</v>
      </c>
    </row>
    <row r="2921" spans="1:1" x14ac:dyDescent="0.25">
      <c r="A2921" t="s">
        <v>1224</v>
      </c>
    </row>
    <row r="2922" spans="1:1" x14ac:dyDescent="0.25">
      <c r="A2922">
        <v>3000</v>
      </c>
    </row>
    <row r="2923" spans="1:1" x14ac:dyDescent="0.25">
      <c r="A2923">
        <v>198</v>
      </c>
    </row>
    <row r="2924" spans="1:1" x14ac:dyDescent="0.25">
      <c r="A2924">
        <v>257</v>
      </c>
    </row>
    <row r="2925" spans="1:1" x14ac:dyDescent="0.25">
      <c r="A2925">
        <v>172</v>
      </c>
    </row>
    <row r="2926" spans="1:1" x14ac:dyDescent="0.25">
      <c r="A2926">
        <v>3</v>
      </c>
    </row>
    <row r="2927" spans="1:1" x14ac:dyDescent="0.25">
      <c r="A2927">
        <v>307</v>
      </c>
    </row>
    <row r="2928" spans="1:1" x14ac:dyDescent="0.25">
      <c r="A2928" t="s">
        <v>1227</v>
      </c>
    </row>
    <row r="2929" spans="1:1" x14ac:dyDescent="0.25">
      <c r="A2929" t="s">
        <v>351</v>
      </c>
    </row>
    <row r="2930" spans="1:1" x14ac:dyDescent="0.25">
      <c r="A2930" t="s">
        <v>1228</v>
      </c>
    </row>
    <row r="2931" spans="1:1" x14ac:dyDescent="0.25">
      <c r="A2931">
        <v>693</v>
      </c>
    </row>
    <row r="2932" spans="1:1" x14ac:dyDescent="0.25">
      <c r="A2932">
        <v>78</v>
      </c>
    </row>
    <row r="2933" spans="1:1" x14ac:dyDescent="0.25">
      <c r="A2933">
        <v>107</v>
      </c>
    </row>
    <row r="2934" spans="1:1" x14ac:dyDescent="0.25">
      <c r="A2934">
        <v>102</v>
      </c>
    </row>
    <row r="2935" spans="1:1" x14ac:dyDescent="0.25">
      <c r="A2935">
        <v>3</v>
      </c>
    </row>
    <row r="2936" spans="1:1" x14ac:dyDescent="0.25">
      <c r="A2936">
        <v>308</v>
      </c>
    </row>
    <row r="2937" spans="1:1" x14ac:dyDescent="0.25">
      <c r="A2937" t="s">
        <v>1229</v>
      </c>
    </row>
    <row r="2938" spans="1:1" x14ac:dyDescent="0.25">
      <c r="A2938" t="s">
        <v>352</v>
      </c>
    </row>
    <row r="2939" spans="1:1" x14ac:dyDescent="0.25">
      <c r="A2939" t="s">
        <v>1228</v>
      </c>
    </row>
    <row r="2940" spans="1:1" x14ac:dyDescent="0.25">
      <c r="A2940">
        <v>1431</v>
      </c>
    </row>
    <row r="2941" spans="1:1" x14ac:dyDescent="0.25">
      <c r="A2941">
        <v>121</v>
      </c>
    </row>
    <row r="2942" spans="1:1" x14ac:dyDescent="0.25">
      <c r="A2942">
        <v>152</v>
      </c>
    </row>
    <row r="2943" spans="1:1" x14ac:dyDescent="0.25">
      <c r="A2943">
        <v>155</v>
      </c>
    </row>
    <row r="2944" spans="1:1" x14ac:dyDescent="0.25">
      <c r="A2944">
        <v>3</v>
      </c>
    </row>
    <row r="2945" spans="1:1" x14ac:dyDescent="0.25">
      <c r="A2945">
        <v>309</v>
      </c>
    </row>
    <row r="2946" spans="1:1" x14ac:dyDescent="0.25">
      <c r="A2946" t="s">
        <v>1230</v>
      </c>
    </row>
    <row r="2947" spans="1:1" x14ac:dyDescent="0.25">
      <c r="A2947" t="s">
        <v>353</v>
      </c>
    </row>
    <row r="2948" spans="1:1" x14ac:dyDescent="0.25">
      <c r="A2948" t="s">
        <v>839</v>
      </c>
    </row>
    <row r="2949" spans="1:1" x14ac:dyDescent="0.25">
      <c r="A2949">
        <v>965</v>
      </c>
    </row>
    <row r="2950" spans="1:1" x14ac:dyDescent="0.25">
      <c r="A2950">
        <v>123</v>
      </c>
    </row>
    <row r="2951" spans="1:1" x14ac:dyDescent="0.25">
      <c r="A2951">
        <v>78</v>
      </c>
    </row>
    <row r="2952" spans="1:1" x14ac:dyDescent="0.25">
      <c r="A2952">
        <v>120</v>
      </c>
    </row>
    <row r="2953" spans="1:1" x14ac:dyDescent="0.25">
      <c r="A2953">
        <v>3</v>
      </c>
    </row>
    <row r="2954" spans="1:1" x14ac:dyDescent="0.25">
      <c r="A2954">
        <v>310</v>
      </c>
    </row>
    <row r="2955" spans="1:1" x14ac:dyDescent="0.25">
      <c r="A2955" t="s">
        <v>1231</v>
      </c>
    </row>
    <row r="2956" spans="1:1" x14ac:dyDescent="0.25">
      <c r="A2956" t="s">
        <v>354</v>
      </c>
    </row>
    <row r="2957" spans="1:1" x14ac:dyDescent="0.25">
      <c r="A2957" t="s">
        <v>839</v>
      </c>
    </row>
    <row r="2958" spans="1:1" x14ac:dyDescent="0.25">
      <c r="A2958">
        <v>2340</v>
      </c>
    </row>
    <row r="2959" spans="1:1" x14ac:dyDescent="0.25">
      <c r="A2959">
        <v>215</v>
      </c>
    </row>
    <row r="2960" spans="1:1" x14ac:dyDescent="0.25">
      <c r="A2960">
        <v>127</v>
      </c>
    </row>
    <row r="2961" spans="1:1" x14ac:dyDescent="0.25">
      <c r="A2961">
        <v>172</v>
      </c>
    </row>
    <row r="2962" spans="1:1" x14ac:dyDescent="0.25">
      <c r="A2962">
        <v>3</v>
      </c>
    </row>
    <row r="2963" spans="1:1" x14ac:dyDescent="0.25">
      <c r="A2963">
        <v>311</v>
      </c>
    </row>
    <row r="2964" spans="1:1" x14ac:dyDescent="0.25">
      <c r="A2964" t="s">
        <v>1232</v>
      </c>
    </row>
    <row r="2965" spans="1:1" x14ac:dyDescent="0.25">
      <c r="A2965" t="s">
        <v>355</v>
      </c>
    </row>
    <row r="2966" spans="1:1" x14ac:dyDescent="0.25">
      <c r="A2966" t="s">
        <v>839</v>
      </c>
    </row>
    <row r="2967" spans="1:1" x14ac:dyDescent="0.25">
      <c r="A2967">
        <v>1778</v>
      </c>
    </row>
    <row r="2968" spans="1:1" x14ac:dyDescent="0.25">
      <c r="A2968">
        <v>167</v>
      </c>
    </row>
    <row r="2969" spans="1:1" x14ac:dyDescent="0.25">
      <c r="A2969">
        <v>129</v>
      </c>
    </row>
    <row r="2970" spans="1:1" x14ac:dyDescent="0.25">
      <c r="A2970">
        <v>155</v>
      </c>
    </row>
    <row r="2971" spans="1:1" x14ac:dyDescent="0.25">
      <c r="A2971">
        <v>3</v>
      </c>
    </row>
    <row r="2972" spans="1:1" x14ac:dyDescent="0.25">
      <c r="A2972">
        <v>312</v>
      </c>
    </row>
    <row r="2973" spans="1:1" x14ac:dyDescent="0.25">
      <c r="A2973" t="s">
        <v>1233</v>
      </c>
    </row>
    <row r="2974" spans="1:1" x14ac:dyDescent="0.25">
      <c r="A2974" t="s">
        <v>356</v>
      </c>
    </row>
    <row r="2975" spans="1:1" x14ac:dyDescent="0.25">
      <c r="A2975" t="s">
        <v>839</v>
      </c>
    </row>
    <row r="2976" spans="1:1" x14ac:dyDescent="0.25">
      <c r="A2976">
        <v>1694</v>
      </c>
    </row>
    <row r="2977" spans="1:1" x14ac:dyDescent="0.25">
      <c r="A2977">
        <v>147</v>
      </c>
    </row>
    <row r="2978" spans="1:1" x14ac:dyDescent="0.25">
      <c r="A2978">
        <v>150</v>
      </c>
    </row>
    <row r="2979" spans="1:1" x14ac:dyDescent="0.25">
      <c r="A2979">
        <v>155</v>
      </c>
    </row>
    <row r="2980" spans="1:1" x14ac:dyDescent="0.25">
      <c r="A2980">
        <v>3</v>
      </c>
    </row>
    <row r="2981" spans="1:1" x14ac:dyDescent="0.25">
      <c r="A2981">
        <v>313</v>
      </c>
    </row>
    <row r="2982" spans="1:1" x14ac:dyDescent="0.25">
      <c r="A2982" t="s">
        <v>1234</v>
      </c>
    </row>
    <row r="2983" spans="1:1" x14ac:dyDescent="0.25">
      <c r="A2983" t="s">
        <v>357</v>
      </c>
    </row>
    <row r="2984" spans="1:1" x14ac:dyDescent="0.25">
      <c r="A2984" t="s">
        <v>813</v>
      </c>
    </row>
    <row r="2985" spans="1:1" x14ac:dyDescent="0.25">
      <c r="A2985">
        <v>1771</v>
      </c>
    </row>
    <row r="2986" spans="1:1" x14ac:dyDescent="0.25">
      <c r="A2986">
        <v>143</v>
      </c>
    </row>
    <row r="2987" spans="1:1" x14ac:dyDescent="0.25">
      <c r="A2987">
        <v>166</v>
      </c>
    </row>
    <row r="2988" spans="1:1" x14ac:dyDescent="0.25">
      <c r="A2988">
        <v>163</v>
      </c>
    </row>
    <row r="2989" spans="1:1" x14ac:dyDescent="0.25">
      <c r="A2989">
        <v>3</v>
      </c>
    </row>
    <row r="2990" spans="1:1" x14ac:dyDescent="0.25">
      <c r="A2990">
        <v>314</v>
      </c>
    </row>
    <row r="2991" spans="1:1" x14ac:dyDescent="0.25">
      <c r="A2991" t="s">
        <v>1235</v>
      </c>
    </row>
    <row r="2992" spans="1:1" x14ac:dyDescent="0.25">
      <c r="A2992" t="s">
        <v>358</v>
      </c>
    </row>
    <row r="2993" spans="1:1" x14ac:dyDescent="0.25">
      <c r="A2993" t="s">
        <v>813</v>
      </c>
    </row>
    <row r="2994" spans="1:1" x14ac:dyDescent="0.25">
      <c r="A2994">
        <v>1771</v>
      </c>
    </row>
    <row r="2995" spans="1:1" x14ac:dyDescent="0.25">
      <c r="A2995">
        <v>143</v>
      </c>
    </row>
    <row r="2996" spans="1:1" x14ac:dyDescent="0.25">
      <c r="A2996">
        <v>166</v>
      </c>
    </row>
    <row r="2997" spans="1:1" x14ac:dyDescent="0.25">
      <c r="A2997">
        <v>163</v>
      </c>
    </row>
    <row r="2998" spans="1:1" x14ac:dyDescent="0.25">
      <c r="A2998">
        <v>3</v>
      </c>
    </row>
    <row r="2999" spans="1:1" x14ac:dyDescent="0.25">
      <c r="A2999">
        <v>315</v>
      </c>
    </row>
    <row r="3000" spans="1:1" x14ac:dyDescent="0.25">
      <c r="A3000" t="s">
        <v>1236</v>
      </c>
    </row>
    <row r="3001" spans="1:1" x14ac:dyDescent="0.25">
      <c r="A3001" t="s">
        <v>359</v>
      </c>
    </row>
    <row r="3002" spans="1:1" x14ac:dyDescent="0.25">
      <c r="A3002" t="s">
        <v>800</v>
      </c>
    </row>
    <row r="3003" spans="1:1" x14ac:dyDescent="0.25">
      <c r="A3003">
        <v>1870</v>
      </c>
    </row>
    <row r="3004" spans="1:1" x14ac:dyDescent="0.25">
      <c r="A3004">
        <v>186</v>
      </c>
    </row>
    <row r="3005" spans="1:1" x14ac:dyDescent="0.25">
      <c r="A3005">
        <v>131</v>
      </c>
    </row>
    <row r="3006" spans="1:1" x14ac:dyDescent="0.25">
      <c r="A3006">
        <v>137</v>
      </c>
    </row>
    <row r="3007" spans="1:1" x14ac:dyDescent="0.25">
      <c r="A3007">
        <v>3</v>
      </c>
    </row>
    <row r="3008" spans="1:1" x14ac:dyDescent="0.25">
      <c r="A3008">
        <v>316</v>
      </c>
    </row>
    <row r="3009" spans="1:1" x14ac:dyDescent="0.25">
      <c r="A3009" t="s">
        <v>1237</v>
      </c>
    </row>
    <row r="3010" spans="1:1" x14ac:dyDescent="0.25">
      <c r="A3010" t="s">
        <v>151</v>
      </c>
    </row>
    <row r="3011" spans="1:1" x14ac:dyDescent="0.25">
      <c r="A3011" t="s">
        <v>836</v>
      </c>
    </row>
    <row r="3012" spans="1:1" x14ac:dyDescent="0.25">
      <c r="A3012">
        <v>866</v>
      </c>
    </row>
    <row r="3013" spans="1:1" x14ac:dyDescent="0.25">
      <c r="A3013">
        <v>80</v>
      </c>
    </row>
    <row r="3014" spans="1:1" x14ac:dyDescent="0.25">
      <c r="A3014">
        <v>99</v>
      </c>
    </row>
    <row r="3015" spans="1:1" x14ac:dyDescent="0.25">
      <c r="A3015">
        <v>172</v>
      </c>
    </row>
    <row r="3016" spans="1:1" x14ac:dyDescent="0.25">
      <c r="A3016">
        <v>3</v>
      </c>
    </row>
    <row r="3017" spans="1:1" x14ac:dyDescent="0.25">
      <c r="A3017">
        <v>317</v>
      </c>
    </row>
    <row r="3018" spans="1:1" x14ac:dyDescent="0.25">
      <c r="A3018" t="s">
        <v>1238</v>
      </c>
    </row>
    <row r="3019" spans="1:1" x14ac:dyDescent="0.25">
      <c r="A3019" t="s">
        <v>152</v>
      </c>
    </row>
    <row r="3020" spans="1:1" x14ac:dyDescent="0.25">
      <c r="A3020" t="s">
        <v>836</v>
      </c>
    </row>
    <row r="3021" spans="1:1" x14ac:dyDescent="0.25">
      <c r="A3021">
        <v>1978</v>
      </c>
    </row>
    <row r="3022" spans="1:1" x14ac:dyDescent="0.25">
      <c r="A3022">
        <v>140</v>
      </c>
    </row>
    <row r="3023" spans="1:1" x14ac:dyDescent="0.25">
      <c r="A3023">
        <v>159</v>
      </c>
    </row>
    <row r="3024" spans="1:1" x14ac:dyDescent="0.25">
      <c r="A3024">
        <v>225</v>
      </c>
    </row>
    <row r="3025" spans="1:1" x14ac:dyDescent="0.25">
      <c r="A3025">
        <v>3</v>
      </c>
    </row>
    <row r="3026" spans="1:1" x14ac:dyDescent="0.25">
      <c r="A3026">
        <v>318</v>
      </c>
    </row>
    <row r="3027" spans="1:1" x14ac:dyDescent="0.25">
      <c r="A3027" t="s">
        <v>1239</v>
      </c>
    </row>
    <row r="3028" spans="1:1" x14ac:dyDescent="0.25">
      <c r="A3028" t="s">
        <v>360</v>
      </c>
    </row>
    <row r="3029" spans="1:1" x14ac:dyDescent="0.25">
      <c r="A3029" t="s">
        <v>1240</v>
      </c>
    </row>
    <row r="3030" spans="1:1" x14ac:dyDescent="0.25">
      <c r="A3030">
        <v>1020</v>
      </c>
    </row>
    <row r="3031" spans="1:1" x14ac:dyDescent="0.25">
      <c r="A3031">
        <v>171</v>
      </c>
    </row>
    <row r="3032" spans="1:1" x14ac:dyDescent="0.25">
      <c r="A3032">
        <v>39</v>
      </c>
    </row>
    <row r="3033" spans="1:1" x14ac:dyDescent="0.25">
      <c r="A3033">
        <v>128</v>
      </c>
    </row>
    <row r="3034" spans="1:1" x14ac:dyDescent="0.25">
      <c r="A3034">
        <v>3</v>
      </c>
    </row>
    <row r="3035" spans="1:1" x14ac:dyDescent="0.25">
      <c r="A3035">
        <v>319</v>
      </c>
    </row>
    <row r="3036" spans="1:1" x14ac:dyDescent="0.25">
      <c r="A3036" t="s">
        <v>1241</v>
      </c>
    </row>
    <row r="3037" spans="1:1" x14ac:dyDescent="0.25">
      <c r="A3037" t="s">
        <v>361</v>
      </c>
    </row>
    <row r="3038" spans="1:1" x14ac:dyDescent="0.25">
      <c r="A3038" t="s">
        <v>1240</v>
      </c>
    </row>
    <row r="3039" spans="1:1" x14ac:dyDescent="0.25">
      <c r="A3039">
        <v>2181</v>
      </c>
    </row>
    <row r="3040" spans="1:1" x14ac:dyDescent="0.25">
      <c r="A3040">
        <v>243</v>
      </c>
    </row>
    <row r="3041" spans="1:1" x14ac:dyDescent="0.25">
      <c r="A3041">
        <v>83</v>
      </c>
    </row>
    <row r="3042" spans="1:1" x14ac:dyDescent="0.25">
      <c r="A3042">
        <v>172</v>
      </c>
    </row>
    <row r="3043" spans="1:1" x14ac:dyDescent="0.25">
      <c r="A3043">
        <v>3</v>
      </c>
    </row>
    <row r="3044" spans="1:1" x14ac:dyDescent="0.25">
      <c r="A3044">
        <v>320</v>
      </c>
    </row>
    <row r="3045" spans="1:1" x14ac:dyDescent="0.25">
      <c r="A3045" t="s">
        <v>1242</v>
      </c>
    </row>
    <row r="3046" spans="1:1" x14ac:dyDescent="0.25">
      <c r="A3046" t="s">
        <v>153</v>
      </c>
    </row>
    <row r="3047" spans="1:1" x14ac:dyDescent="0.25">
      <c r="A3047" t="s">
        <v>809</v>
      </c>
    </row>
    <row r="3048" spans="1:1" x14ac:dyDescent="0.25">
      <c r="A3048">
        <v>1468</v>
      </c>
    </row>
    <row r="3049" spans="1:1" x14ac:dyDescent="0.25">
      <c r="A3049">
        <v>136</v>
      </c>
    </row>
    <row r="3050" spans="1:1" x14ac:dyDescent="0.25">
      <c r="A3050">
        <v>68</v>
      </c>
    </row>
    <row r="3051" spans="1:1" x14ac:dyDescent="0.25">
      <c r="A3051">
        <v>277</v>
      </c>
    </row>
    <row r="3052" spans="1:1" x14ac:dyDescent="0.25">
      <c r="A3052">
        <v>3</v>
      </c>
    </row>
    <row r="3053" spans="1:1" x14ac:dyDescent="0.25">
      <c r="A3053">
        <v>321</v>
      </c>
    </row>
    <row r="3054" spans="1:1" x14ac:dyDescent="0.25">
      <c r="A3054" t="s">
        <v>1243</v>
      </c>
    </row>
    <row r="3055" spans="1:1" x14ac:dyDescent="0.25">
      <c r="A3055" t="s">
        <v>154</v>
      </c>
    </row>
    <row r="3056" spans="1:1" x14ac:dyDescent="0.25">
      <c r="A3056" t="s">
        <v>809</v>
      </c>
    </row>
    <row r="3057" spans="1:1" x14ac:dyDescent="0.25">
      <c r="A3057">
        <v>2280</v>
      </c>
    </row>
    <row r="3058" spans="1:1" x14ac:dyDescent="0.25">
      <c r="A3058">
        <v>175</v>
      </c>
    </row>
    <row r="3059" spans="1:1" x14ac:dyDescent="0.25">
      <c r="A3059">
        <v>87</v>
      </c>
    </row>
    <row r="3060" spans="1:1" x14ac:dyDescent="0.25">
      <c r="A3060">
        <v>347</v>
      </c>
    </row>
    <row r="3061" spans="1:1" x14ac:dyDescent="0.25">
      <c r="A3061">
        <v>3</v>
      </c>
    </row>
    <row r="3062" spans="1:1" x14ac:dyDescent="0.25">
      <c r="A3062">
        <v>322</v>
      </c>
    </row>
    <row r="3063" spans="1:1" x14ac:dyDescent="0.25">
      <c r="A3063" t="s">
        <v>1244</v>
      </c>
    </row>
    <row r="3064" spans="1:1" x14ac:dyDescent="0.25">
      <c r="A3064" t="s">
        <v>362</v>
      </c>
    </row>
    <row r="3065" spans="1:1" x14ac:dyDescent="0.25">
      <c r="A3065" t="s">
        <v>1245</v>
      </c>
    </row>
    <row r="3066" spans="1:1" x14ac:dyDescent="0.25">
      <c r="A3066">
        <v>1057</v>
      </c>
    </row>
    <row r="3067" spans="1:1" x14ac:dyDescent="0.25">
      <c r="A3067">
        <v>119</v>
      </c>
    </row>
    <row r="3068" spans="1:1" x14ac:dyDescent="0.25">
      <c r="A3068">
        <v>79</v>
      </c>
    </row>
    <row r="3069" spans="1:1" x14ac:dyDescent="0.25">
      <c r="A3069">
        <v>155</v>
      </c>
    </row>
    <row r="3070" spans="1:1" x14ac:dyDescent="0.25">
      <c r="A3070">
        <v>3</v>
      </c>
    </row>
    <row r="3071" spans="1:1" x14ac:dyDescent="0.25">
      <c r="A3071">
        <v>323</v>
      </c>
    </row>
    <row r="3072" spans="1:1" x14ac:dyDescent="0.25">
      <c r="A3072" t="s">
        <v>1246</v>
      </c>
    </row>
    <row r="3073" spans="1:1" x14ac:dyDescent="0.25">
      <c r="A3073" t="s">
        <v>363</v>
      </c>
    </row>
    <row r="3074" spans="1:1" x14ac:dyDescent="0.25">
      <c r="A3074" t="s">
        <v>1245</v>
      </c>
    </row>
    <row r="3075" spans="1:1" x14ac:dyDescent="0.25">
      <c r="A3075">
        <v>2193</v>
      </c>
    </row>
    <row r="3076" spans="1:1" x14ac:dyDescent="0.25">
      <c r="A3076">
        <v>194</v>
      </c>
    </row>
    <row r="3077" spans="1:1" x14ac:dyDescent="0.25">
      <c r="A3077">
        <v>136</v>
      </c>
    </row>
    <row r="3078" spans="1:1" x14ac:dyDescent="0.25">
      <c r="A3078">
        <v>172</v>
      </c>
    </row>
    <row r="3079" spans="1:1" x14ac:dyDescent="0.25">
      <c r="A3079">
        <v>3</v>
      </c>
    </row>
    <row r="3080" spans="1:1" x14ac:dyDescent="0.25">
      <c r="A3080">
        <v>324</v>
      </c>
    </row>
    <row r="3081" spans="1:1" x14ac:dyDescent="0.25">
      <c r="A3081" t="s">
        <v>1247</v>
      </c>
    </row>
    <row r="3082" spans="1:1" x14ac:dyDescent="0.25">
      <c r="A3082" t="s">
        <v>364</v>
      </c>
    </row>
    <row r="3083" spans="1:1" x14ac:dyDescent="0.25">
      <c r="A3083" t="s">
        <v>804</v>
      </c>
    </row>
    <row r="3084" spans="1:1" x14ac:dyDescent="0.25">
      <c r="A3084">
        <v>2093</v>
      </c>
    </row>
    <row r="3085" spans="1:1" x14ac:dyDescent="0.25">
      <c r="A3085">
        <v>151</v>
      </c>
    </row>
    <row r="3086" spans="1:1" x14ac:dyDescent="0.25">
      <c r="A3086">
        <v>203</v>
      </c>
    </row>
    <row r="3087" spans="1:1" x14ac:dyDescent="0.25">
      <c r="A3087">
        <v>172</v>
      </c>
    </row>
    <row r="3088" spans="1:1" x14ac:dyDescent="0.25">
      <c r="A3088">
        <v>3</v>
      </c>
    </row>
    <row r="3089" spans="1:1" x14ac:dyDescent="0.25">
      <c r="A3089">
        <v>325</v>
      </c>
    </row>
    <row r="3090" spans="1:1" x14ac:dyDescent="0.25">
      <c r="A3090" t="s">
        <v>1248</v>
      </c>
    </row>
    <row r="3091" spans="1:1" x14ac:dyDescent="0.25">
      <c r="A3091" t="s">
        <v>155</v>
      </c>
    </row>
    <row r="3092" spans="1:1" x14ac:dyDescent="0.25">
      <c r="A3092" t="s">
        <v>910</v>
      </c>
    </row>
    <row r="3093" spans="1:1" x14ac:dyDescent="0.25">
      <c r="A3093">
        <v>1334</v>
      </c>
    </row>
    <row r="3094" spans="1:1" x14ac:dyDescent="0.25">
      <c r="A3094">
        <v>125</v>
      </c>
    </row>
    <row r="3095" spans="1:1" x14ac:dyDescent="0.25">
      <c r="A3095">
        <v>122</v>
      </c>
    </row>
    <row r="3096" spans="1:1" x14ac:dyDescent="0.25">
      <c r="A3096">
        <v>155</v>
      </c>
    </row>
    <row r="3097" spans="1:1" x14ac:dyDescent="0.25">
      <c r="A3097">
        <v>3</v>
      </c>
    </row>
    <row r="3098" spans="1:1" x14ac:dyDescent="0.25">
      <c r="A3098">
        <v>326</v>
      </c>
    </row>
    <row r="3099" spans="1:1" x14ac:dyDescent="0.25">
      <c r="A3099" t="s">
        <v>1249</v>
      </c>
    </row>
    <row r="3100" spans="1:1" x14ac:dyDescent="0.25">
      <c r="A3100" t="s">
        <v>156</v>
      </c>
    </row>
    <row r="3101" spans="1:1" x14ac:dyDescent="0.25">
      <c r="A3101" t="s">
        <v>910</v>
      </c>
    </row>
    <row r="3102" spans="1:1" x14ac:dyDescent="0.25">
      <c r="A3102">
        <v>2369</v>
      </c>
    </row>
    <row r="3103" spans="1:1" x14ac:dyDescent="0.25">
      <c r="A3103">
        <v>171</v>
      </c>
    </row>
    <row r="3104" spans="1:1" x14ac:dyDescent="0.25">
      <c r="A3104">
        <v>188</v>
      </c>
    </row>
    <row r="3105" spans="1:1" x14ac:dyDescent="0.25">
      <c r="A3105">
        <v>190</v>
      </c>
    </row>
    <row r="3106" spans="1:1" x14ac:dyDescent="0.25">
      <c r="A3106">
        <v>3</v>
      </c>
    </row>
    <row r="3107" spans="1:1" x14ac:dyDescent="0.25">
      <c r="A3107">
        <v>327</v>
      </c>
    </row>
    <row r="3108" spans="1:1" x14ac:dyDescent="0.25">
      <c r="A3108" t="s">
        <v>1250</v>
      </c>
    </row>
    <row r="3109" spans="1:1" x14ac:dyDescent="0.25">
      <c r="A3109" t="s">
        <v>365</v>
      </c>
    </row>
    <row r="3110" spans="1:1" x14ac:dyDescent="0.25">
      <c r="A3110" t="s">
        <v>826</v>
      </c>
    </row>
    <row r="3111" spans="1:1" x14ac:dyDescent="0.25">
      <c r="A3111">
        <v>1220</v>
      </c>
    </row>
    <row r="3112" spans="1:1" x14ac:dyDescent="0.25">
      <c r="A3112">
        <v>116</v>
      </c>
    </row>
    <row r="3113" spans="1:1" x14ac:dyDescent="0.25">
      <c r="A3113">
        <v>116</v>
      </c>
    </row>
    <row r="3114" spans="1:1" x14ac:dyDescent="0.25">
      <c r="A3114">
        <v>155</v>
      </c>
    </row>
    <row r="3115" spans="1:1" x14ac:dyDescent="0.25">
      <c r="A3115">
        <v>3</v>
      </c>
    </row>
    <row r="3116" spans="1:1" x14ac:dyDescent="0.25">
      <c r="A3116">
        <v>328</v>
      </c>
    </row>
    <row r="3117" spans="1:1" x14ac:dyDescent="0.25">
      <c r="A3117" t="s">
        <v>1251</v>
      </c>
    </row>
    <row r="3118" spans="1:1" x14ac:dyDescent="0.25">
      <c r="A3118" t="s">
        <v>548</v>
      </c>
    </row>
    <row r="3119" spans="1:1" x14ac:dyDescent="0.25">
      <c r="A3119" t="s">
        <v>845</v>
      </c>
    </row>
    <row r="3120" spans="1:1" x14ac:dyDescent="0.25">
      <c r="A3120">
        <v>1274</v>
      </c>
    </row>
    <row r="3121" spans="1:1" x14ac:dyDescent="0.25">
      <c r="A3121">
        <v>162</v>
      </c>
    </row>
    <row r="3122" spans="1:1" x14ac:dyDescent="0.25">
      <c r="A3122">
        <v>78</v>
      </c>
    </row>
    <row r="3123" spans="1:1" x14ac:dyDescent="0.25">
      <c r="A3123">
        <v>128</v>
      </c>
    </row>
    <row r="3124" spans="1:1" x14ac:dyDescent="0.25">
      <c r="A3124">
        <v>3</v>
      </c>
    </row>
    <row r="3125" spans="1:1" x14ac:dyDescent="0.25">
      <c r="A3125">
        <v>329</v>
      </c>
    </row>
    <row r="3126" spans="1:1" x14ac:dyDescent="0.25">
      <c r="A3126" t="s">
        <v>1252</v>
      </c>
    </row>
    <row r="3127" spans="1:1" x14ac:dyDescent="0.25">
      <c r="A3127" t="s">
        <v>549</v>
      </c>
    </row>
    <row r="3128" spans="1:1" x14ac:dyDescent="0.25">
      <c r="A3128" t="s">
        <v>1253</v>
      </c>
    </row>
    <row r="3129" spans="1:1" x14ac:dyDescent="0.25">
      <c r="A3129">
        <v>1225</v>
      </c>
    </row>
    <row r="3130" spans="1:1" x14ac:dyDescent="0.25">
      <c r="A3130">
        <v>134</v>
      </c>
    </row>
    <row r="3131" spans="1:1" x14ac:dyDescent="0.25">
      <c r="A3131">
        <v>99</v>
      </c>
    </row>
    <row r="3132" spans="1:1" x14ac:dyDescent="0.25">
      <c r="A3132">
        <v>137</v>
      </c>
    </row>
    <row r="3133" spans="1:1" x14ac:dyDescent="0.25">
      <c r="A3133">
        <v>3</v>
      </c>
    </row>
    <row r="3134" spans="1:1" x14ac:dyDescent="0.25">
      <c r="A3134">
        <v>330</v>
      </c>
    </row>
    <row r="3135" spans="1:1" x14ac:dyDescent="0.25">
      <c r="A3135" t="s">
        <v>1254</v>
      </c>
    </row>
    <row r="3136" spans="1:1" x14ac:dyDescent="0.25">
      <c r="A3136" t="s">
        <v>550</v>
      </c>
    </row>
    <row r="3137" spans="1:1" x14ac:dyDescent="0.25">
      <c r="A3137" t="s">
        <v>1253</v>
      </c>
    </row>
    <row r="3138" spans="1:1" x14ac:dyDescent="0.25">
      <c r="A3138">
        <v>2661</v>
      </c>
    </row>
    <row r="3139" spans="1:1" x14ac:dyDescent="0.25">
      <c r="A3139">
        <v>205</v>
      </c>
    </row>
    <row r="3140" spans="1:1" x14ac:dyDescent="0.25">
      <c r="A3140">
        <v>168</v>
      </c>
    </row>
    <row r="3141" spans="1:1" x14ac:dyDescent="0.25">
      <c r="A3141">
        <v>190</v>
      </c>
    </row>
    <row r="3142" spans="1:1" x14ac:dyDescent="0.25">
      <c r="A3142">
        <v>3</v>
      </c>
    </row>
    <row r="3143" spans="1:1" x14ac:dyDescent="0.25">
      <c r="A3143">
        <v>331</v>
      </c>
    </row>
    <row r="3144" spans="1:1" x14ac:dyDescent="0.25">
      <c r="A3144" t="s">
        <v>1255</v>
      </c>
    </row>
    <row r="3145" spans="1:1" x14ac:dyDescent="0.25">
      <c r="A3145" t="s">
        <v>366</v>
      </c>
    </row>
    <row r="3146" spans="1:1" x14ac:dyDescent="0.25">
      <c r="A3146" t="s">
        <v>988</v>
      </c>
    </row>
    <row r="3147" spans="1:1" x14ac:dyDescent="0.25">
      <c r="A3147">
        <v>1242</v>
      </c>
    </row>
    <row r="3148" spans="1:1" x14ac:dyDescent="0.25">
      <c r="A3148">
        <v>156</v>
      </c>
    </row>
    <row r="3149" spans="1:1" x14ac:dyDescent="0.25">
      <c r="A3149">
        <v>74</v>
      </c>
    </row>
    <row r="3150" spans="1:1" x14ac:dyDescent="0.25">
      <c r="A3150">
        <v>137</v>
      </c>
    </row>
    <row r="3151" spans="1:1" x14ac:dyDescent="0.25">
      <c r="A3151">
        <v>3</v>
      </c>
    </row>
    <row r="3152" spans="1:1" x14ac:dyDescent="0.25">
      <c r="A3152">
        <v>332</v>
      </c>
    </row>
    <row r="3153" spans="1:1" x14ac:dyDescent="0.25">
      <c r="A3153" t="s">
        <v>1256</v>
      </c>
    </row>
    <row r="3154" spans="1:1" x14ac:dyDescent="0.25">
      <c r="A3154" t="s">
        <v>367</v>
      </c>
    </row>
    <row r="3155" spans="1:1" x14ac:dyDescent="0.25">
      <c r="A3155" t="s">
        <v>1187</v>
      </c>
    </row>
    <row r="3156" spans="1:1" x14ac:dyDescent="0.25">
      <c r="A3156">
        <v>2298</v>
      </c>
    </row>
    <row r="3157" spans="1:1" x14ac:dyDescent="0.25">
      <c r="A3157">
        <v>221</v>
      </c>
    </row>
    <row r="3158" spans="1:1" x14ac:dyDescent="0.25">
      <c r="A3158">
        <v>115</v>
      </c>
    </row>
    <row r="3159" spans="1:1" x14ac:dyDescent="0.25">
      <c r="A3159">
        <v>172</v>
      </c>
    </row>
    <row r="3160" spans="1:1" x14ac:dyDescent="0.25">
      <c r="A3160">
        <v>3</v>
      </c>
    </row>
    <row r="3161" spans="1:1" x14ac:dyDescent="0.25">
      <c r="A3161">
        <v>333</v>
      </c>
    </row>
    <row r="3162" spans="1:1" x14ac:dyDescent="0.25">
      <c r="A3162" t="s">
        <v>1257</v>
      </c>
    </row>
    <row r="3163" spans="1:1" x14ac:dyDescent="0.25">
      <c r="A3163" t="s">
        <v>157</v>
      </c>
    </row>
    <row r="3164" spans="1:1" x14ac:dyDescent="0.25">
      <c r="A3164" t="s">
        <v>822</v>
      </c>
    </row>
    <row r="3165" spans="1:1" x14ac:dyDescent="0.25">
      <c r="A3165">
        <v>824</v>
      </c>
    </row>
    <row r="3166" spans="1:1" x14ac:dyDescent="0.25">
      <c r="A3166">
        <v>76</v>
      </c>
    </row>
    <row r="3167" spans="1:1" x14ac:dyDescent="0.25">
      <c r="A3167">
        <v>132</v>
      </c>
    </row>
    <row r="3168" spans="1:1" x14ac:dyDescent="0.25">
      <c r="A3168">
        <v>128</v>
      </c>
    </row>
    <row r="3169" spans="1:1" x14ac:dyDescent="0.25">
      <c r="A3169">
        <v>3</v>
      </c>
    </row>
    <row r="3170" spans="1:1" x14ac:dyDescent="0.25">
      <c r="A3170">
        <v>334</v>
      </c>
    </row>
    <row r="3171" spans="1:1" x14ac:dyDescent="0.25">
      <c r="A3171" t="s">
        <v>1258</v>
      </c>
    </row>
    <row r="3172" spans="1:1" x14ac:dyDescent="0.25">
      <c r="A3172" t="s">
        <v>158</v>
      </c>
    </row>
    <row r="3173" spans="1:1" x14ac:dyDescent="0.25">
      <c r="A3173" t="s">
        <v>1033</v>
      </c>
    </row>
    <row r="3174" spans="1:1" x14ac:dyDescent="0.25">
      <c r="A3174">
        <v>2004</v>
      </c>
    </row>
    <row r="3175" spans="1:1" x14ac:dyDescent="0.25">
      <c r="A3175">
        <v>141</v>
      </c>
    </row>
    <row r="3176" spans="1:1" x14ac:dyDescent="0.25">
      <c r="A3176">
        <v>201</v>
      </c>
    </row>
    <row r="3177" spans="1:1" x14ac:dyDescent="0.25">
      <c r="A3177">
        <v>181</v>
      </c>
    </row>
    <row r="3178" spans="1:1" x14ac:dyDescent="0.25">
      <c r="A3178">
        <v>3</v>
      </c>
    </row>
    <row r="3179" spans="1:1" x14ac:dyDescent="0.25">
      <c r="A3179">
        <v>335</v>
      </c>
    </row>
    <row r="3180" spans="1:1" x14ac:dyDescent="0.25">
      <c r="A3180" t="s">
        <v>1259</v>
      </c>
    </row>
    <row r="3181" spans="1:1" x14ac:dyDescent="0.25">
      <c r="A3181" t="s">
        <v>368</v>
      </c>
    </row>
    <row r="3182" spans="1:1" x14ac:dyDescent="0.25">
      <c r="A3182" t="s">
        <v>826</v>
      </c>
    </row>
    <row r="3183" spans="1:1" x14ac:dyDescent="0.25">
      <c r="A3183">
        <v>2418</v>
      </c>
    </row>
    <row r="3184" spans="1:1" x14ac:dyDescent="0.25">
      <c r="A3184">
        <v>222</v>
      </c>
    </row>
    <row r="3185" spans="1:1" x14ac:dyDescent="0.25">
      <c r="A3185">
        <v>124</v>
      </c>
    </row>
    <row r="3186" spans="1:1" x14ac:dyDescent="0.25">
      <c r="A3186">
        <v>177</v>
      </c>
    </row>
    <row r="3187" spans="1:1" x14ac:dyDescent="0.25">
      <c r="A3187">
        <v>3</v>
      </c>
    </row>
    <row r="3188" spans="1:1" x14ac:dyDescent="0.25">
      <c r="A3188">
        <v>336</v>
      </c>
    </row>
    <row r="3189" spans="1:1" x14ac:dyDescent="0.25">
      <c r="A3189" t="s">
        <v>1260</v>
      </c>
    </row>
    <row r="3190" spans="1:1" x14ac:dyDescent="0.25">
      <c r="A3190" t="s">
        <v>369</v>
      </c>
    </row>
    <row r="3191" spans="1:1" x14ac:dyDescent="0.25">
      <c r="A3191" t="s">
        <v>836</v>
      </c>
    </row>
    <row r="3192" spans="1:1" x14ac:dyDescent="0.25">
      <c r="A3192">
        <v>2105</v>
      </c>
    </row>
    <row r="3193" spans="1:1" x14ac:dyDescent="0.25">
      <c r="A3193">
        <v>196</v>
      </c>
    </row>
    <row r="3194" spans="1:1" x14ac:dyDescent="0.25">
      <c r="A3194">
        <v>118</v>
      </c>
    </row>
    <row r="3195" spans="1:1" x14ac:dyDescent="0.25">
      <c r="A3195">
        <v>177</v>
      </c>
    </row>
    <row r="3196" spans="1:1" x14ac:dyDescent="0.25">
      <c r="A3196">
        <v>3</v>
      </c>
    </row>
    <row r="3197" spans="1:1" x14ac:dyDescent="0.25">
      <c r="A3197">
        <v>337</v>
      </c>
    </row>
    <row r="3198" spans="1:1" x14ac:dyDescent="0.25">
      <c r="A3198" t="s">
        <v>1261</v>
      </c>
    </row>
    <row r="3199" spans="1:1" x14ac:dyDescent="0.25">
      <c r="A3199" t="s">
        <v>370</v>
      </c>
    </row>
    <row r="3200" spans="1:1" x14ac:dyDescent="0.25">
      <c r="A3200" t="s">
        <v>1262</v>
      </c>
    </row>
    <row r="3201" spans="1:1" x14ac:dyDescent="0.25">
      <c r="A3201">
        <v>2327</v>
      </c>
    </row>
    <row r="3202" spans="1:1" x14ac:dyDescent="0.25">
      <c r="A3202">
        <v>178</v>
      </c>
    </row>
    <row r="3203" spans="1:1" x14ac:dyDescent="0.25">
      <c r="A3203">
        <v>153</v>
      </c>
    </row>
    <row r="3204" spans="1:1" x14ac:dyDescent="0.25">
      <c r="A3204">
        <v>207</v>
      </c>
    </row>
    <row r="3205" spans="1:1" x14ac:dyDescent="0.25">
      <c r="A3205">
        <v>3</v>
      </c>
    </row>
    <row r="3206" spans="1:1" x14ac:dyDescent="0.25">
      <c r="A3206">
        <v>338</v>
      </c>
    </row>
    <row r="3207" spans="1:1" x14ac:dyDescent="0.25">
      <c r="A3207" t="s">
        <v>1263</v>
      </c>
    </row>
    <row r="3208" spans="1:1" x14ac:dyDescent="0.25">
      <c r="A3208" t="s">
        <v>371</v>
      </c>
    </row>
    <row r="3209" spans="1:1" x14ac:dyDescent="0.25">
      <c r="A3209" t="s">
        <v>1262</v>
      </c>
    </row>
    <row r="3210" spans="1:1" x14ac:dyDescent="0.25">
      <c r="A3210">
        <v>2327</v>
      </c>
    </row>
    <row r="3211" spans="1:1" x14ac:dyDescent="0.25">
      <c r="A3211">
        <v>178</v>
      </c>
    </row>
    <row r="3212" spans="1:1" x14ac:dyDescent="0.25">
      <c r="A3212">
        <v>153</v>
      </c>
    </row>
    <row r="3213" spans="1:1" x14ac:dyDescent="0.25">
      <c r="A3213">
        <v>207</v>
      </c>
    </row>
    <row r="3214" spans="1:1" x14ac:dyDescent="0.25">
      <c r="A3214">
        <v>3</v>
      </c>
    </row>
    <row r="3215" spans="1:1" x14ac:dyDescent="0.25">
      <c r="A3215">
        <v>339</v>
      </c>
    </row>
    <row r="3216" spans="1:1" x14ac:dyDescent="0.25">
      <c r="A3216" t="s">
        <v>1264</v>
      </c>
    </row>
    <row r="3217" spans="1:1" x14ac:dyDescent="0.25">
      <c r="A3217" t="s">
        <v>159</v>
      </c>
    </row>
    <row r="3218" spans="1:1" x14ac:dyDescent="0.25">
      <c r="A3218" t="s">
        <v>1087</v>
      </c>
    </row>
    <row r="3219" spans="1:1" x14ac:dyDescent="0.25">
      <c r="A3219">
        <v>819</v>
      </c>
    </row>
    <row r="3220" spans="1:1" x14ac:dyDescent="0.25">
      <c r="A3220">
        <v>93</v>
      </c>
    </row>
    <row r="3221" spans="1:1" x14ac:dyDescent="0.25">
      <c r="A3221">
        <v>82</v>
      </c>
    </row>
    <row r="3222" spans="1:1" x14ac:dyDescent="0.25">
      <c r="A3222">
        <v>137</v>
      </c>
    </row>
    <row r="3223" spans="1:1" x14ac:dyDescent="0.25">
      <c r="A3223">
        <v>3</v>
      </c>
    </row>
    <row r="3224" spans="1:1" x14ac:dyDescent="0.25">
      <c r="A3224">
        <v>340</v>
      </c>
    </row>
    <row r="3225" spans="1:1" x14ac:dyDescent="0.25">
      <c r="A3225" t="s">
        <v>1265</v>
      </c>
    </row>
    <row r="3226" spans="1:1" x14ac:dyDescent="0.25">
      <c r="A3226" t="s">
        <v>160</v>
      </c>
    </row>
    <row r="3227" spans="1:1" x14ac:dyDescent="0.25">
      <c r="A3227" t="s">
        <v>1087</v>
      </c>
    </row>
    <row r="3228" spans="1:1" x14ac:dyDescent="0.25">
      <c r="A3228">
        <v>2075</v>
      </c>
    </row>
    <row r="3229" spans="1:1" x14ac:dyDescent="0.25">
      <c r="A3229">
        <v>151</v>
      </c>
    </row>
    <row r="3230" spans="1:1" x14ac:dyDescent="0.25">
      <c r="A3230">
        <v>141</v>
      </c>
    </row>
    <row r="3231" spans="1:1" x14ac:dyDescent="0.25">
      <c r="A3231">
        <v>242</v>
      </c>
    </row>
    <row r="3232" spans="1:1" x14ac:dyDescent="0.25">
      <c r="A3232">
        <v>3</v>
      </c>
    </row>
    <row r="3233" spans="1:1" x14ac:dyDescent="0.25">
      <c r="A3233">
        <v>341</v>
      </c>
    </row>
    <row r="3234" spans="1:1" x14ac:dyDescent="0.25">
      <c r="A3234" t="s">
        <v>1266</v>
      </c>
    </row>
    <row r="3235" spans="1:1" x14ac:dyDescent="0.25">
      <c r="A3235" t="s">
        <v>372</v>
      </c>
    </row>
    <row r="3236" spans="1:1" x14ac:dyDescent="0.25">
      <c r="A3236" t="s">
        <v>809</v>
      </c>
    </row>
    <row r="3237" spans="1:1" x14ac:dyDescent="0.25">
      <c r="A3237">
        <v>1230</v>
      </c>
    </row>
    <row r="3238" spans="1:1" x14ac:dyDescent="0.25">
      <c r="A3238">
        <v>141</v>
      </c>
    </row>
    <row r="3239" spans="1:1" x14ac:dyDescent="0.25">
      <c r="A3239">
        <v>99</v>
      </c>
    </row>
    <row r="3240" spans="1:1" x14ac:dyDescent="0.25">
      <c r="A3240">
        <v>125</v>
      </c>
    </row>
    <row r="3241" spans="1:1" x14ac:dyDescent="0.25">
      <c r="A3241">
        <v>3</v>
      </c>
    </row>
    <row r="3242" spans="1:1" x14ac:dyDescent="0.25">
      <c r="A3242">
        <v>342</v>
      </c>
    </row>
    <row r="3243" spans="1:1" x14ac:dyDescent="0.25">
      <c r="A3243" t="s">
        <v>1267</v>
      </c>
    </row>
    <row r="3244" spans="1:1" x14ac:dyDescent="0.25">
      <c r="A3244" t="s">
        <v>373</v>
      </c>
    </row>
    <row r="3245" spans="1:1" x14ac:dyDescent="0.25">
      <c r="A3245" t="s">
        <v>1240</v>
      </c>
    </row>
    <row r="3246" spans="1:1" x14ac:dyDescent="0.25">
      <c r="A3246">
        <v>2474</v>
      </c>
    </row>
    <row r="3247" spans="1:1" x14ac:dyDescent="0.25">
      <c r="A3247">
        <v>224</v>
      </c>
    </row>
    <row r="3248" spans="1:1" x14ac:dyDescent="0.25">
      <c r="A3248">
        <v>142</v>
      </c>
    </row>
    <row r="3249" spans="1:1" x14ac:dyDescent="0.25">
      <c r="A3249">
        <v>160</v>
      </c>
    </row>
    <row r="3250" spans="1:1" x14ac:dyDescent="0.25">
      <c r="A3250">
        <v>3</v>
      </c>
    </row>
    <row r="3251" spans="1:1" x14ac:dyDescent="0.25">
      <c r="A3251">
        <v>343</v>
      </c>
    </row>
    <row r="3252" spans="1:1" x14ac:dyDescent="0.25">
      <c r="A3252" t="s">
        <v>1268</v>
      </c>
    </row>
    <row r="3253" spans="1:1" x14ac:dyDescent="0.25">
      <c r="A3253" t="s">
        <v>374</v>
      </c>
    </row>
    <row r="3254" spans="1:1" x14ac:dyDescent="0.25">
      <c r="A3254" t="s">
        <v>1269</v>
      </c>
    </row>
    <row r="3255" spans="1:1" x14ac:dyDescent="0.25">
      <c r="A3255">
        <v>787</v>
      </c>
    </row>
    <row r="3256" spans="1:1" x14ac:dyDescent="0.25">
      <c r="A3256">
        <v>77</v>
      </c>
    </row>
    <row r="3257" spans="1:1" x14ac:dyDescent="0.25">
      <c r="A3257">
        <v>124</v>
      </c>
    </row>
    <row r="3258" spans="1:1" x14ac:dyDescent="0.25">
      <c r="A3258">
        <v>120</v>
      </c>
    </row>
    <row r="3259" spans="1:1" x14ac:dyDescent="0.25">
      <c r="A3259">
        <v>3</v>
      </c>
    </row>
    <row r="3260" spans="1:1" x14ac:dyDescent="0.25">
      <c r="A3260">
        <v>344</v>
      </c>
    </row>
    <row r="3261" spans="1:1" x14ac:dyDescent="0.25">
      <c r="A3261" t="s">
        <v>1270</v>
      </c>
    </row>
    <row r="3262" spans="1:1" x14ac:dyDescent="0.25">
      <c r="A3262" t="s">
        <v>375</v>
      </c>
    </row>
    <row r="3263" spans="1:1" x14ac:dyDescent="0.25">
      <c r="A3263" t="s">
        <v>1269</v>
      </c>
    </row>
    <row r="3264" spans="1:1" x14ac:dyDescent="0.25">
      <c r="A3264">
        <v>1971</v>
      </c>
    </row>
    <row r="3265" spans="1:1" x14ac:dyDescent="0.25">
      <c r="A3265">
        <v>140</v>
      </c>
    </row>
    <row r="3266" spans="1:1" x14ac:dyDescent="0.25">
      <c r="A3266">
        <v>229</v>
      </c>
    </row>
    <row r="3267" spans="1:1" x14ac:dyDescent="0.25">
      <c r="A3267">
        <v>155</v>
      </c>
    </row>
    <row r="3268" spans="1:1" x14ac:dyDescent="0.25">
      <c r="A3268">
        <v>3</v>
      </c>
    </row>
    <row r="3269" spans="1:1" x14ac:dyDescent="0.25">
      <c r="A3269">
        <v>345</v>
      </c>
    </row>
    <row r="3270" spans="1:1" x14ac:dyDescent="0.25">
      <c r="A3270" t="s">
        <v>1271</v>
      </c>
    </row>
    <row r="3271" spans="1:1" x14ac:dyDescent="0.25">
      <c r="A3271" t="s">
        <v>376</v>
      </c>
    </row>
    <row r="3272" spans="1:1" x14ac:dyDescent="0.25">
      <c r="A3272" t="s">
        <v>1272</v>
      </c>
    </row>
    <row r="3273" spans="1:1" x14ac:dyDescent="0.25">
      <c r="A3273">
        <v>1291</v>
      </c>
    </row>
    <row r="3274" spans="1:1" x14ac:dyDescent="0.25">
      <c r="A3274">
        <v>105</v>
      </c>
    </row>
    <row r="3275" spans="1:1" x14ac:dyDescent="0.25">
      <c r="A3275">
        <v>150</v>
      </c>
    </row>
    <row r="3276" spans="1:1" x14ac:dyDescent="0.25">
      <c r="A3276">
        <v>165</v>
      </c>
    </row>
    <row r="3277" spans="1:1" x14ac:dyDescent="0.25">
      <c r="A3277">
        <v>3</v>
      </c>
    </row>
    <row r="3278" spans="1:1" x14ac:dyDescent="0.25">
      <c r="A3278">
        <v>346</v>
      </c>
    </row>
    <row r="3279" spans="1:1" x14ac:dyDescent="0.25">
      <c r="A3279" t="s">
        <v>1273</v>
      </c>
    </row>
    <row r="3280" spans="1:1" x14ac:dyDescent="0.25">
      <c r="A3280" t="s">
        <v>377</v>
      </c>
    </row>
    <row r="3281" spans="1:1" x14ac:dyDescent="0.25">
      <c r="A3281" t="s">
        <v>1272</v>
      </c>
    </row>
    <row r="3282" spans="1:1" x14ac:dyDescent="0.25">
      <c r="A3282">
        <v>2211</v>
      </c>
    </row>
    <row r="3283" spans="1:1" x14ac:dyDescent="0.25">
      <c r="A3283">
        <v>152</v>
      </c>
    </row>
    <row r="3284" spans="1:1" x14ac:dyDescent="0.25">
      <c r="A3284">
        <v>194</v>
      </c>
    </row>
    <row r="3285" spans="1:1" x14ac:dyDescent="0.25">
      <c r="A3285">
        <v>200</v>
      </c>
    </row>
    <row r="3286" spans="1:1" x14ac:dyDescent="0.25">
      <c r="A3286">
        <v>3</v>
      </c>
    </row>
    <row r="3287" spans="1:1" x14ac:dyDescent="0.25">
      <c r="A3287">
        <v>347</v>
      </c>
    </row>
    <row r="3288" spans="1:1" x14ac:dyDescent="0.25">
      <c r="A3288" t="s">
        <v>1274</v>
      </c>
    </row>
    <row r="3289" spans="1:1" x14ac:dyDescent="0.25">
      <c r="A3289" t="s">
        <v>378</v>
      </c>
    </row>
    <row r="3290" spans="1:1" x14ac:dyDescent="0.25">
      <c r="A3290" t="s">
        <v>1275</v>
      </c>
    </row>
    <row r="3291" spans="1:1" x14ac:dyDescent="0.25">
      <c r="A3291">
        <v>1529</v>
      </c>
    </row>
    <row r="3292" spans="1:1" x14ac:dyDescent="0.25">
      <c r="A3292">
        <v>176</v>
      </c>
    </row>
    <row r="3293" spans="1:1" x14ac:dyDescent="0.25">
      <c r="A3293">
        <v>100</v>
      </c>
    </row>
    <row r="3294" spans="1:1" x14ac:dyDescent="0.25">
      <c r="A3294">
        <v>128</v>
      </c>
    </row>
    <row r="3295" spans="1:1" x14ac:dyDescent="0.25">
      <c r="A3295">
        <v>3</v>
      </c>
    </row>
    <row r="3296" spans="1:1" x14ac:dyDescent="0.25">
      <c r="A3296">
        <v>348</v>
      </c>
    </row>
    <row r="3297" spans="1:1" x14ac:dyDescent="0.25">
      <c r="A3297" t="s">
        <v>1276</v>
      </c>
    </row>
    <row r="3298" spans="1:1" x14ac:dyDescent="0.25">
      <c r="A3298" t="s">
        <v>379</v>
      </c>
    </row>
    <row r="3299" spans="1:1" x14ac:dyDescent="0.25">
      <c r="A3299" t="s">
        <v>1275</v>
      </c>
    </row>
    <row r="3300" spans="1:1" x14ac:dyDescent="0.25">
      <c r="A3300">
        <v>2848</v>
      </c>
    </row>
    <row r="3301" spans="1:1" x14ac:dyDescent="0.25">
      <c r="A3301">
        <v>222</v>
      </c>
    </row>
    <row r="3302" spans="1:1" x14ac:dyDescent="0.25">
      <c r="A3302">
        <v>174</v>
      </c>
    </row>
    <row r="3303" spans="1:1" x14ac:dyDescent="0.25">
      <c r="A3303">
        <v>181</v>
      </c>
    </row>
    <row r="3304" spans="1:1" x14ac:dyDescent="0.25">
      <c r="A3304">
        <v>3</v>
      </c>
    </row>
    <row r="3305" spans="1:1" x14ac:dyDescent="0.25">
      <c r="A3305">
        <v>349</v>
      </c>
    </row>
    <row r="3306" spans="1:1" x14ac:dyDescent="0.25">
      <c r="A3306" t="s">
        <v>1277</v>
      </c>
    </row>
    <row r="3307" spans="1:1" x14ac:dyDescent="0.25">
      <c r="A3307" t="s">
        <v>551</v>
      </c>
    </row>
    <row r="3308" spans="1:1" x14ac:dyDescent="0.25">
      <c r="A3308" t="s">
        <v>809</v>
      </c>
    </row>
    <row r="3309" spans="1:1" x14ac:dyDescent="0.25">
      <c r="A3309">
        <v>274</v>
      </c>
    </row>
    <row r="3310" spans="1:1" x14ac:dyDescent="0.25">
      <c r="A3310">
        <v>29</v>
      </c>
    </row>
    <row r="3311" spans="1:1" x14ac:dyDescent="0.25">
      <c r="A3311">
        <v>85</v>
      </c>
    </row>
    <row r="3312" spans="1:1" x14ac:dyDescent="0.25">
      <c r="A3312">
        <v>85</v>
      </c>
    </row>
    <row r="3313" spans="1:1" x14ac:dyDescent="0.25">
      <c r="A3313">
        <v>3</v>
      </c>
    </row>
    <row r="3314" spans="1:1" x14ac:dyDescent="0.25">
      <c r="A3314">
        <v>350</v>
      </c>
    </row>
    <row r="3315" spans="1:1" x14ac:dyDescent="0.25">
      <c r="A3315" t="s">
        <v>1278</v>
      </c>
    </row>
    <row r="3316" spans="1:1" x14ac:dyDescent="0.25">
      <c r="A3316" t="s">
        <v>552</v>
      </c>
    </row>
    <row r="3317" spans="1:1" x14ac:dyDescent="0.25">
      <c r="A3317" t="s">
        <v>809</v>
      </c>
    </row>
    <row r="3318" spans="1:1" x14ac:dyDescent="0.25">
      <c r="A3318">
        <v>3005</v>
      </c>
    </row>
    <row r="3319" spans="1:1" x14ac:dyDescent="0.25">
      <c r="A3319">
        <v>192</v>
      </c>
    </row>
    <row r="3320" spans="1:1" x14ac:dyDescent="0.25">
      <c r="A3320">
        <v>219</v>
      </c>
    </row>
    <row r="3321" spans="1:1" x14ac:dyDescent="0.25">
      <c r="A3321">
        <v>216</v>
      </c>
    </row>
    <row r="3322" spans="1:1" x14ac:dyDescent="0.25">
      <c r="A3322">
        <v>3</v>
      </c>
    </row>
    <row r="3323" spans="1:1" x14ac:dyDescent="0.25">
      <c r="A3323">
        <v>351</v>
      </c>
    </row>
    <row r="3324" spans="1:1" x14ac:dyDescent="0.25">
      <c r="A3324" t="s">
        <v>1279</v>
      </c>
    </row>
    <row r="3325" spans="1:1" x14ac:dyDescent="0.25">
      <c r="A3325" t="s">
        <v>553</v>
      </c>
    </row>
    <row r="3326" spans="1:1" x14ac:dyDescent="0.25">
      <c r="A3326" t="s">
        <v>826</v>
      </c>
    </row>
    <row r="3327" spans="1:1" x14ac:dyDescent="0.25">
      <c r="A3327">
        <v>1632</v>
      </c>
    </row>
    <row r="3328" spans="1:1" x14ac:dyDescent="0.25">
      <c r="A3328">
        <v>139</v>
      </c>
    </row>
    <row r="3329" spans="1:1" x14ac:dyDescent="0.25">
      <c r="A3329">
        <v>139</v>
      </c>
    </row>
    <row r="3330" spans="1:1" x14ac:dyDescent="0.25">
      <c r="A3330">
        <v>172</v>
      </c>
    </row>
    <row r="3331" spans="1:1" x14ac:dyDescent="0.25">
      <c r="A3331">
        <v>3</v>
      </c>
    </row>
    <row r="3332" spans="1:1" x14ac:dyDescent="0.25">
      <c r="A3332">
        <v>387</v>
      </c>
    </row>
    <row r="3333" spans="1:1" x14ac:dyDescent="0.25">
      <c r="A3333" t="s">
        <v>1280</v>
      </c>
    </row>
    <row r="3334" spans="1:1" x14ac:dyDescent="0.25">
      <c r="A3334" t="s">
        <v>394</v>
      </c>
    </row>
    <row r="3335" spans="1:1" x14ac:dyDescent="0.25">
      <c r="A3335" t="s">
        <v>988</v>
      </c>
    </row>
    <row r="3336" spans="1:1" x14ac:dyDescent="0.25">
      <c r="A3336">
        <v>1187</v>
      </c>
    </row>
    <row r="3337" spans="1:1" x14ac:dyDescent="0.25">
      <c r="A3337">
        <v>119</v>
      </c>
    </row>
    <row r="3338" spans="1:1" x14ac:dyDescent="0.25">
      <c r="A3338">
        <v>110</v>
      </c>
    </row>
    <row r="3339" spans="1:1" x14ac:dyDescent="0.25">
      <c r="A3339">
        <v>146</v>
      </c>
    </row>
    <row r="3340" spans="1:1" x14ac:dyDescent="0.25">
      <c r="A3340">
        <v>4</v>
      </c>
    </row>
    <row r="3341" spans="1:1" x14ac:dyDescent="0.25">
      <c r="A3341">
        <v>388</v>
      </c>
    </row>
    <row r="3342" spans="1:1" x14ac:dyDescent="0.25">
      <c r="A3342" t="s">
        <v>1281</v>
      </c>
    </row>
    <row r="3343" spans="1:1" x14ac:dyDescent="0.25">
      <c r="A3343" t="s">
        <v>395</v>
      </c>
    </row>
    <row r="3344" spans="1:1" x14ac:dyDescent="0.25">
      <c r="A3344" t="s">
        <v>988</v>
      </c>
    </row>
    <row r="3345" spans="1:1" x14ac:dyDescent="0.25">
      <c r="A3345">
        <v>1890</v>
      </c>
    </row>
    <row r="3346" spans="1:1" x14ac:dyDescent="0.25">
      <c r="A3346">
        <v>157</v>
      </c>
    </row>
    <row r="3347" spans="1:1" x14ac:dyDescent="0.25">
      <c r="A3347">
        <v>143</v>
      </c>
    </row>
    <row r="3348" spans="1:1" x14ac:dyDescent="0.25">
      <c r="A3348">
        <v>181</v>
      </c>
    </row>
    <row r="3349" spans="1:1" x14ac:dyDescent="0.25">
      <c r="A3349">
        <v>4</v>
      </c>
    </row>
    <row r="3350" spans="1:1" x14ac:dyDescent="0.25">
      <c r="A3350">
        <v>389</v>
      </c>
    </row>
    <row r="3351" spans="1:1" x14ac:dyDescent="0.25">
      <c r="A3351" t="s">
        <v>1282</v>
      </c>
    </row>
    <row r="3352" spans="1:1" x14ac:dyDescent="0.25">
      <c r="A3352" t="s">
        <v>396</v>
      </c>
    </row>
    <row r="3353" spans="1:1" x14ac:dyDescent="0.25">
      <c r="A3353" t="s">
        <v>1283</v>
      </c>
    </row>
    <row r="3354" spans="1:1" x14ac:dyDescent="0.25">
      <c r="A3354">
        <v>2934</v>
      </c>
    </row>
    <row r="3355" spans="1:1" x14ac:dyDescent="0.25">
      <c r="A3355">
        <v>202</v>
      </c>
    </row>
    <row r="3356" spans="1:1" x14ac:dyDescent="0.25">
      <c r="A3356">
        <v>188</v>
      </c>
    </row>
    <row r="3357" spans="1:1" x14ac:dyDescent="0.25">
      <c r="A3357">
        <v>216</v>
      </c>
    </row>
    <row r="3358" spans="1:1" x14ac:dyDescent="0.25">
      <c r="A3358">
        <v>4</v>
      </c>
    </row>
    <row r="3359" spans="1:1" x14ac:dyDescent="0.25">
      <c r="A3359">
        <v>390</v>
      </c>
    </row>
    <row r="3360" spans="1:1" x14ac:dyDescent="0.25">
      <c r="A3360" t="s">
        <v>1284</v>
      </c>
    </row>
    <row r="3361" spans="1:1" x14ac:dyDescent="0.25">
      <c r="A3361" t="s">
        <v>397</v>
      </c>
    </row>
    <row r="3362" spans="1:1" x14ac:dyDescent="0.25">
      <c r="A3362" t="s">
        <v>804</v>
      </c>
    </row>
    <row r="3363" spans="1:1" x14ac:dyDescent="0.25">
      <c r="A3363">
        <v>957</v>
      </c>
    </row>
    <row r="3364" spans="1:1" x14ac:dyDescent="0.25">
      <c r="A3364">
        <v>113</v>
      </c>
    </row>
    <row r="3365" spans="1:1" x14ac:dyDescent="0.25">
      <c r="A3365">
        <v>86</v>
      </c>
    </row>
    <row r="3366" spans="1:1" x14ac:dyDescent="0.25">
      <c r="A3366">
        <v>127</v>
      </c>
    </row>
    <row r="3367" spans="1:1" x14ac:dyDescent="0.25">
      <c r="A3367">
        <v>4</v>
      </c>
    </row>
    <row r="3368" spans="1:1" x14ac:dyDescent="0.25">
      <c r="A3368">
        <v>391</v>
      </c>
    </row>
    <row r="3369" spans="1:1" x14ac:dyDescent="0.25">
      <c r="A3369" t="s">
        <v>1285</v>
      </c>
    </row>
    <row r="3370" spans="1:1" x14ac:dyDescent="0.25">
      <c r="A3370" t="s">
        <v>398</v>
      </c>
    </row>
    <row r="3371" spans="1:1" x14ac:dyDescent="0.25">
      <c r="A3371" t="s">
        <v>1167</v>
      </c>
    </row>
    <row r="3372" spans="1:1" x14ac:dyDescent="0.25">
      <c r="A3372">
        <v>1574</v>
      </c>
    </row>
    <row r="3373" spans="1:1" x14ac:dyDescent="0.25">
      <c r="A3373">
        <v>158</v>
      </c>
    </row>
    <row r="3374" spans="1:1" x14ac:dyDescent="0.25">
      <c r="A3374">
        <v>105</v>
      </c>
    </row>
    <row r="3375" spans="1:1" x14ac:dyDescent="0.25">
      <c r="A3375">
        <v>162</v>
      </c>
    </row>
    <row r="3376" spans="1:1" x14ac:dyDescent="0.25">
      <c r="A3376">
        <v>4</v>
      </c>
    </row>
    <row r="3377" spans="1:1" x14ac:dyDescent="0.25">
      <c r="A3377">
        <v>392</v>
      </c>
    </row>
    <row r="3378" spans="1:1" x14ac:dyDescent="0.25">
      <c r="A3378" t="s">
        <v>1286</v>
      </c>
    </row>
    <row r="3379" spans="1:1" x14ac:dyDescent="0.25">
      <c r="A3379" t="s">
        <v>399</v>
      </c>
    </row>
    <row r="3380" spans="1:1" x14ac:dyDescent="0.25">
      <c r="A3380" t="s">
        <v>1167</v>
      </c>
    </row>
    <row r="3381" spans="1:1" x14ac:dyDescent="0.25">
      <c r="A3381">
        <v>2683</v>
      </c>
    </row>
    <row r="3382" spans="1:1" x14ac:dyDescent="0.25">
      <c r="A3382">
        <v>222</v>
      </c>
    </row>
    <row r="3383" spans="1:1" x14ac:dyDescent="0.25">
      <c r="A3383">
        <v>151</v>
      </c>
    </row>
    <row r="3384" spans="1:1" x14ac:dyDescent="0.25">
      <c r="A3384">
        <v>183</v>
      </c>
    </row>
    <row r="3385" spans="1:1" x14ac:dyDescent="0.25">
      <c r="A3385">
        <v>4</v>
      </c>
    </row>
    <row r="3386" spans="1:1" x14ac:dyDescent="0.25">
      <c r="A3386">
        <v>393</v>
      </c>
    </row>
    <row r="3387" spans="1:1" x14ac:dyDescent="0.25">
      <c r="A3387" t="s">
        <v>1287</v>
      </c>
    </row>
    <row r="3388" spans="1:1" x14ac:dyDescent="0.25">
      <c r="A3388" t="s">
        <v>400</v>
      </c>
    </row>
    <row r="3389" spans="1:1" x14ac:dyDescent="0.25">
      <c r="A3389" t="s">
        <v>809</v>
      </c>
    </row>
    <row r="3390" spans="1:1" x14ac:dyDescent="0.25">
      <c r="A3390">
        <v>1075</v>
      </c>
    </row>
    <row r="3391" spans="1:1" x14ac:dyDescent="0.25">
      <c r="A3391">
        <v>112</v>
      </c>
    </row>
    <row r="3392" spans="1:1" x14ac:dyDescent="0.25">
      <c r="A3392">
        <v>102</v>
      </c>
    </row>
    <row r="3393" spans="1:1" x14ac:dyDescent="0.25">
      <c r="A3393">
        <v>142</v>
      </c>
    </row>
    <row r="3394" spans="1:1" x14ac:dyDescent="0.25">
      <c r="A3394">
        <v>4</v>
      </c>
    </row>
    <row r="3395" spans="1:1" x14ac:dyDescent="0.25">
      <c r="A3395">
        <v>394</v>
      </c>
    </row>
    <row r="3396" spans="1:1" x14ac:dyDescent="0.25">
      <c r="A3396" t="s">
        <v>1288</v>
      </c>
    </row>
    <row r="3397" spans="1:1" x14ac:dyDescent="0.25">
      <c r="A3397" t="s">
        <v>401</v>
      </c>
    </row>
    <row r="3398" spans="1:1" x14ac:dyDescent="0.25">
      <c r="A3398" t="s">
        <v>809</v>
      </c>
    </row>
    <row r="3399" spans="1:1" x14ac:dyDescent="0.25">
      <c r="A3399">
        <v>1701</v>
      </c>
    </row>
    <row r="3400" spans="1:1" x14ac:dyDescent="0.25">
      <c r="A3400">
        <v>150</v>
      </c>
    </row>
    <row r="3401" spans="1:1" x14ac:dyDescent="0.25">
      <c r="A3401">
        <v>139</v>
      </c>
    </row>
    <row r="3402" spans="1:1" x14ac:dyDescent="0.25">
      <c r="A3402">
        <v>162</v>
      </c>
    </row>
    <row r="3403" spans="1:1" x14ac:dyDescent="0.25">
      <c r="A3403">
        <v>4</v>
      </c>
    </row>
    <row r="3404" spans="1:1" x14ac:dyDescent="0.25">
      <c r="A3404">
        <v>395</v>
      </c>
    </row>
    <row r="3405" spans="1:1" x14ac:dyDescent="0.25">
      <c r="A3405" t="s">
        <v>1289</v>
      </c>
    </row>
    <row r="3406" spans="1:1" x14ac:dyDescent="0.25">
      <c r="A3406" t="s">
        <v>402</v>
      </c>
    </row>
    <row r="3407" spans="1:1" x14ac:dyDescent="0.25">
      <c r="A3407" t="s">
        <v>1290</v>
      </c>
    </row>
    <row r="3408" spans="1:1" x14ac:dyDescent="0.25">
      <c r="A3408">
        <v>2900</v>
      </c>
    </row>
    <row r="3409" spans="1:1" x14ac:dyDescent="0.25">
      <c r="A3409">
        <v>210</v>
      </c>
    </row>
    <row r="3410" spans="1:1" x14ac:dyDescent="0.25">
      <c r="A3410">
        <v>186</v>
      </c>
    </row>
    <row r="3411" spans="1:1" x14ac:dyDescent="0.25">
      <c r="A3411">
        <v>197</v>
      </c>
    </row>
    <row r="3412" spans="1:1" x14ac:dyDescent="0.25">
      <c r="A3412">
        <v>4</v>
      </c>
    </row>
    <row r="3413" spans="1:1" x14ac:dyDescent="0.25">
      <c r="A3413">
        <v>396</v>
      </c>
    </row>
    <row r="3414" spans="1:1" x14ac:dyDescent="0.25">
      <c r="A3414" t="s">
        <v>1291</v>
      </c>
    </row>
    <row r="3415" spans="1:1" x14ac:dyDescent="0.25">
      <c r="A3415" t="s">
        <v>161</v>
      </c>
    </row>
    <row r="3416" spans="1:1" x14ac:dyDescent="0.25">
      <c r="A3416" t="s">
        <v>822</v>
      </c>
    </row>
    <row r="3417" spans="1:1" x14ac:dyDescent="0.25">
      <c r="A3417">
        <v>719</v>
      </c>
    </row>
    <row r="3418" spans="1:1" x14ac:dyDescent="0.25">
      <c r="A3418">
        <v>101</v>
      </c>
    </row>
    <row r="3419" spans="1:1" x14ac:dyDescent="0.25">
      <c r="A3419">
        <v>58</v>
      </c>
    </row>
    <row r="3420" spans="1:1" x14ac:dyDescent="0.25">
      <c r="A3420">
        <v>120</v>
      </c>
    </row>
    <row r="3421" spans="1:1" x14ac:dyDescent="0.25">
      <c r="A3421">
        <v>4</v>
      </c>
    </row>
    <row r="3422" spans="1:1" x14ac:dyDescent="0.25">
      <c r="A3422">
        <v>397</v>
      </c>
    </row>
    <row r="3423" spans="1:1" x14ac:dyDescent="0.25">
      <c r="A3423" t="s">
        <v>1292</v>
      </c>
    </row>
    <row r="3424" spans="1:1" x14ac:dyDescent="0.25">
      <c r="A3424" t="s">
        <v>162</v>
      </c>
    </row>
    <row r="3425" spans="1:1" x14ac:dyDescent="0.25">
      <c r="A3425" t="s">
        <v>822</v>
      </c>
    </row>
    <row r="3426" spans="1:1" x14ac:dyDescent="0.25">
      <c r="A3426">
        <v>1299</v>
      </c>
    </row>
    <row r="3427" spans="1:1" x14ac:dyDescent="0.25">
      <c r="A3427">
        <v>142</v>
      </c>
    </row>
    <row r="3428" spans="1:1" x14ac:dyDescent="0.25">
      <c r="A3428">
        <v>94</v>
      </c>
    </row>
    <row r="3429" spans="1:1" x14ac:dyDescent="0.25">
      <c r="A3429">
        <v>146</v>
      </c>
    </row>
    <row r="3430" spans="1:1" x14ac:dyDescent="0.25">
      <c r="A3430">
        <v>4</v>
      </c>
    </row>
    <row r="3431" spans="1:1" x14ac:dyDescent="0.25">
      <c r="A3431">
        <v>398</v>
      </c>
    </row>
    <row r="3432" spans="1:1" x14ac:dyDescent="0.25">
      <c r="A3432" t="s">
        <v>1293</v>
      </c>
    </row>
    <row r="3433" spans="1:1" x14ac:dyDescent="0.25">
      <c r="A3433" t="s">
        <v>163</v>
      </c>
    </row>
    <row r="3434" spans="1:1" x14ac:dyDescent="0.25">
      <c r="A3434" t="s">
        <v>822</v>
      </c>
    </row>
    <row r="3435" spans="1:1" x14ac:dyDescent="0.25">
      <c r="A3435">
        <v>2825</v>
      </c>
    </row>
    <row r="3436" spans="1:1" x14ac:dyDescent="0.25">
      <c r="A3436">
        <v>234</v>
      </c>
    </row>
    <row r="3437" spans="1:1" x14ac:dyDescent="0.25">
      <c r="A3437">
        <v>140</v>
      </c>
    </row>
    <row r="3438" spans="1:1" x14ac:dyDescent="0.25">
      <c r="A3438">
        <v>198</v>
      </c>
    </row>
    <row r="3439" spans="1:1" x14ac:dyDescent="0.25">
      <c r="A3439">
        <v>4</v>
      </c>
    </row>
    <row r="3440" spans="1:1" x14ac:dyDescent="0.25">
      <c r="A3440">
        <v>399</v>
      </c>
    </row>
    <row r="3441" spans="1:1" x14ac:dyDescent="0.25">
      <c r="A3441" t="s">
        <v>1294</v>
      </c>
    </row>
    <row r="3442" spans="1:1" x14ac:dyDescent="0.25">
      <c r="A3442" t="s">
        <v>164</v>
      </c>
    </row>
    <row r="3443" spans="1:1" x14ac:dyDescent="0.25">
      <c r="A3443" t="s">
        <v>826</v>
      </c>
    </row>
    <row r="3444" spans="1:1" x14ac:dyDescent="0.25">
      <c r="A3444">
        <v>721</v>
      </c>
    </row>
    <row r="3445" spans="1:1" x14ac:dyDescent="0.25">
      <c r="A3445">
        <v>80</v>
      </c>
    </row>
    <row r="3446" spans="1:1" x14ac:dyDescent="0.25">
      <c r="A3446">
        <v>73</v>
      </c>
    </row>
    <row r="3447" spans="1:1" x14ac:dyDescent="0.25">
      <c r="A3447">
        <v>153</v>
      </c>
    </row>
    <row r="3448" spans="1:1" x14ac:dyDescent="0.25">
      <c r="A3448">
        <v>4</v>
      </c>
    </row>
    <row r="3449" spans="1:1" x14ac:dyDescent="0.25">
      <c r="A3449">
        <v>400</v>
      </c>
    </row>
    <row r="3450" spans="1:1" x14ac:dyDescent="0.25">
      <c r="A3450" t="s">
        <v>1295</v>
      </c>
    </row>
    <row r="3451" spans="1:1" x14ac:dyDescent="0.25">
      <c r="A3451" t="s">
        <v>165</v>
      </c>
    </row>
    <row r="3452" spans="1:1" x14ac:dyDescent="0.25">
      <c r="A3452" t="s">
        <v>1296</v>
      </c>
    </row>
    <row r="3453" spans="1:1" x14ac:dyDescent="0.25">
      <c r="A3453">
        <v>1823</v>
      </c>
    </row>
    <row r="3454" spans="1:1" x14ac:dyDescent="0.25">
      <c r="A3454">
        <v>162</v>
      </c>
    </row>
    <row r="3455" spans="1:1" x14ac:dyDescent="0.25">
      <c r="A3455">
        <v>119</v>
      </c>
    </row>
    <row r="3456" spans="1:1" x14ac:dyDescent="0.25">
      <c r="A3456">
        <v>188</v>
      </c>
    </row>
    <row r="3457" spans="1:1" x14ac:dyDescent="0.25">
      <c r="A3457">
        <v>4</v>
      </c>
    </row>
    <row r="3458" spans="1:1" x14ac:dyDescent="0.25">
      <c r="A3458">
        <v>401</v>
      </c>
    </row>
    <row r="3459" spans="1:1" x14ac:dyDescent="0.25">
      <c r="A3459" t="s">
        <v>1297</v>
      </c>
    </row>
    <row r="3460" spans="1:1" x14ac:dyDescent="0.25">
      <c r="A3460" t="s">
        <v>679</v>
      </c>
    </row>
    <row r="3461" spans="1:1" x14ac:dyDescent="0.25">
      <c r="A3461" t="s">
        <v>813</v>
      </c>
    </row>
    <row r="3462" spans="1:1" x14ac:dyDescent="0.25">
      <c r="A3462">
        <v>401</v>
      </c>
    </row>
    <row r="3463" spans="1:1" x14ac:dyDescent="0.25">
      <c r="A3463">
        <v>45</v>
      </c>
    </row>
    <row r="3464" spans="1:1" x14ac:dyDescent="0.25">
      <c r="A3464">
        <v>74</v>
      </c>
    </row>
    <row r="3465" spans="1:1" x14ac:dyDescent="0.25">
      <c r="A3465">
        <v>114</v>
      </c>
    </row>
    <row r="3466" spans="1:1" x14ac:dyDescent="0.25">
      <c r="A3466">
        <v>4</v>
      </c>
    </row>
    <row r="3467" spans="1:1" x14ac:dyDescent="0.25">
      <c r="A3467">
        <v>402</v>
      </c>
    </row>
    <row r="3468" spans="1:1" x14ac:dyDescent="0.25">
      <c r="A3468" t="s">
        <v>1298</v>
      </c>
    </row>
    <row r="3469" spans="1:1" x14ac:dyDescent="0.25">
      <c r="A3469" t="s">
        <v>166</v>
      </c>
    </row>
    <row r="3470" spans="1:1" x14ac:dyDescent="0.25">
      <c r="A3470" t="s">
        <v>813</v>
      </c>
    </row>
    <row r="3471" spans="1:1" x14ac:dyDescent="0.25">
      <c r="A3471">
        <v>1653</v>
      </c>
    </row>
    <row r="3472" spans="1:1" x14ac:dyDescent="0.25">
      <c r="A3472">
        <v>160</v>
      </c>
    </row>
    <row r="3473" spans="1:1" x14ac:dyDescent="0.25">
      <c r="A3473">
        <v>100</v>
      </c>
    </row>
    <row r="3474" spans="1:1" x14ac:dyDescent="0.25">
      <c r="A3474">
        <v>184</v>
      </c>
    </row>
    <row r="3475" spans="1:1" x14ac:dyDescent="0.25">
      <c r="A3475">
        <v>4</v>
      </c>
    </row>
    <row r="3476" spans="1:1" x14ac:dyDescent="0.25">
      <c r="A3476">
        <v>403</v>
      </c>
    </row>
    <row r="3477" spans="1:1" x14ac:dyDescent="0.25">
      <c r="A3477" t="s">
        <v>1299</v>
      </c>
    </row>
    <row r="3478" spans="1:1" x14ac:dyDescent="0.25">
      <c r="A3478" t="s">
        <v>565</v>
      </c>
    </row>
    <row r="3479" spans="1:1" x14ac:dyDescent="0.25">
      <c r="A3479" t="s">
        <v>839</v>
      </c>
    </row>
    <row r="3480" spans="1:1" x14ac:dyDescent="0.25">
      <c r="A3480">
        <v>876</v>
      </c>
    </row>
    <row r="3481" spans="1:1" x14ac:dyDescent="0.25">
      <c r="A3481">
        <v>117</v>
      </c>
    </row>
    <row r="3482" spans="1:1" x14ac:dyDescent="0.25">
      <c r="A3482">
        <v>64</v>
      </c>
    </row>
    <row r="3483" spans="1:1" x14ac:dyDescent="0.25">
      <c r="A3483">
        <v>128</v>
      </c>
    </row>
    <row r="3484" spans="1:1" x14ac:dyDescent="0.25">
      <c r="A3484">
        <v>4</v>
      </c>
    </row>
    <row r="3485" spans="1:1" x14ac:dyDescent="0.25">
      <c r="A3485">
        <v>404</v>
      </c>
    </row>
    <row r="3486" spans="1:1" x14ac:dyDescent="0.25">
      <c r="A3486" t="s">
        <v>1300</v>
      </c>
    </row>
    <row r="3487" spans="1:1" x14ac:dyDescent="0.25">
      <c r="A3487" t="s">
        <v>566</v>
      </c>
    </row>
    <row r="3488" spans="1:1" x14ac:dyDescent="0.25">
      <c r="A3488" t="s">
        <v>839</v>
      </c>
    </row>
    <row r="3489" spans="1:1" x14ac:dyDescent="0.25">
      <c r="A3489">
        <v>1486</v>
      </c>
    </row>
    <row r="3490" spans="1:1" x14ac:dyDescent="0.25">
      <c r="A3490">
        <v>159</v>
      </c>
    </row>
    <row r="3491" spans="1:1" x14ac:dyDescent="0.25">
      <c r="A3491">
        <v>95</v>
      </c>
    </row>
    <row r="3492" spans="1:1" x14ac:dyDescent="0.25">
      <c r="A3492">
        <v>155</v>
      </c>
    </row>
    <row r="3493" spans="1:1" x14ac:dyDescent="0.25">
      <c r="A3493">
        <v>4</v>
      </c>
    </row>
    <row r="3494" spans="1:1" x14ac:dyDescent="0.25">
      <c r="A3494">
        <v>405</v>
      </c>
    </row>
    <row r="3495" spans="1:1" x14ac:dyDescent="0.25">
      <c r="A3495" t="s">
        <v>1301</v>
      </c>
    </row>
    <row r="3496" spans="1:1" x14ac:dyDescent="0.25">
      <c r="A3496" t="s">
        <v>567</v>
      </c>
    </row>
    <row r="3497" spans="1:1" x14ac:dyDescent="0.25">
      <c r="A3497" t="s">
        <v>839</v>
      </c>
    </row>
    <row r="3498" spans="1:1" x14ac:dyDescent="0.25">
      <c r="A3498">
        <v>2888</v>
      </c>
    </row>
    <row r="3499" spans="1:1" x14ac:dyDescent="0.25">
      <c r="A3499">
        <v>232</v>
      </c>
    </row>
    <row r="3500" spans="1:1" x14ac:dyDescent="0.25">
      <c r="A3500">
        <v>156</v>
      </c>
    </row>
    <row r="3501" spans="1:1" x14ac:dyDescent="0.25">
      <c r="A3501">
        <v>190</v>
      </c>
    </row>
    <row r="3502" spans="1:1" x14ac:dyDescent="0.25">
      <c r="A3502">
        <v>4</v>
      </c>
    </row>
    <row r="3503" spans="1:1" x14ac:dyDescent="0.25">
      <c r="A3503">
        <v>406</v>
      </c>
    </row>
    <row r="3504" spans="1:1" x14ac:dyDescent="0.25">
      <c r="A3504" t="s">
        <v>1302</v>
      </c>
    </row>
    <row r="3505" spans="1:1" x14ac:dyDescent="0.25">
      <c r="A3505" t="s">
        <v>403</v>
      </c>
    </row>
    <row r="3506" spans="1:1" x14ac:dyDescent="0.25">
      <c r="A3506" t="s">
        <v>800</v>
      </c>
    </row>
    <row r="3507" spans="1:1" x14ac:dyDescent="0.25">
      <c r="A3507">
        <v>856</v>
      </c>
    </row>
    <row r="3508" spans="1:1" x14ac:dyDescent="0.25">
      <c r="A3508">
        <v>91</v>
      </c>
    </row>
    <row r="3509" spans="1:1" x14ac:dyDescent="0.25">
      <c r="A3509">
        <v>109</v>
      </c>
    </row>
    <row r="3510" spans="1:1" x14ac:dyDescent="0.25">
      <c r="A3510">
        <v>120</v>
      </c>
    </row>
    <row r="3511" spans="1:1" x14ac:dyDescent="0.25">
      <c r="A3511">
        <v>4</v>
      </c>
    </row>
    <row r="3512" spans="1:1" x14ac:dyDescent="0.25">
      <c r="A3512">
        <v>407</v>
      </c>
    </row>
    <row r="3513" spans="1:1" x14ac:dyDescent="0.25">
      <c r="A3513" t="s">
        <v>1303</v>
      </c>
    </row>
    <row r="3514" spans="1:1" x14ac:dyDescent="0.25">
      <c r="A3514" t="s">
        <v>404</v>
      </c>
    </row>
    <row r="3515" spans="1:1" x14ac:dyDescent="0.25">
      <c r="A3515" t="s">
        <v>800</v>
      </c>
    </row>
    <row r="3516" spans="1:1" x14ac:dyDescent="0.25">
      <c r="A3516">
        <v>2971</v>
      </c>
    </row>
    <row r="3517" spans="1:1" x14ac:dyDescent="0.25">
      <c r="A3517">
        <v>243</v>
      </c>
    </row>
    <row r="3518" spans="1:1" x14ac:dyDescent="0.25">
      <c r="A3518">
        <v>185</v>
      </c>
    </row>
    <row r="3519" spans="1:1" x14ac:dyDescent="0.25">
      <c r="A3519">
        <v>155</v>
      </c>
    </row>
    <row r="3520" spans="1:1" x14ac:dyDescent="0.25">
      <c r="A3520">
        <v>4</v>
      </c>
    </row>
    <row r="3521" spans="1:1" x14ac:dyDescent="0.25">
      <c r="A3521">
        <v>408</v>
      </c>
    </row>
    <row r="3522" spans="1:1" x14ac:dyDescent="0.25">
      <c r="A3522" t="s">
        <v>1304</v>
      </c>
    </row>
    <row r="3523" spans="1:1" x14ac:dyDescent="0.25">
      <c r="A3523" t="s">
        <v>568</v>
      </c>
    </row>
    <row r="3524" spans="1:1" x14ac:dyDescent="0.25">
      <c r="A3524" t="s">
        <v>1076</v>
      </c>
    </row>
    <row r="3525" spans="1:1" x14ac:dyDescent="0.25">
      <c r="A3525">
        <v>1820</v>
      </c>
    </row>
    <row r="3526" spans="1:1" x14ac:dyDescent="0.25">
      <c r="A3526">
        <v>218</v>
      </c>
    </row>
    <row r="3527" spans="1:1" x14ac:dyDescent="0.25">
      <c r="A3527">
        <v>71</v>
      </c>
    </row>
    <row r="3528" spans="1:1" x14ac:dyDescent="0.25">
      <c r="A3528">
        <v>167</v>
      </c>
    </row>
    <row r="3529" spans="1:1" x14ac:dyDescent="0.25">
      <c r="A3529">
        <v>4</v>
      </c>
    </row>
    <row r="3530" spans="1:1" x14ac:dyDescent="0.25">
      <c r="A3530">
        <v>409</v>
      </c>
    </row>
    <row r="3531" spans="1:1" x14ac:dyDescent="0.25">
      <c r="A3531" t="s">
        <v>1305</v>
      </c>
    </row>
    <row r="3532" spans="1:1" x14ac:dyDescent="0.25">
      <c r="A3532" t="s">
        <v>569</v>
      </c>
    </row>
    <row r="3533" spans="1:1" x14ac:dyDescent="0.25">
      <c r="A3533" t="s">
        <v>1076</v>
      </c>
    </row>
    <row r="3534" spans="1:1" x14ac:dyDescent="0.25">
      <c r="A3534">
        <v>3298</v>
      </c>
    </row>
    <row r="3535" spans="1:1" x14ac:dyDescent="0.25">
      <c r="A3535">
        <v>295</v>
      </c>
    </row>
    <row r="3536" spans="1:1" x14ac:dyDescent="0.25">
      <c r="A3536">
        <v>109</v>
      </c>
    </row>
    <row r="3537" spans="1:1" x14ac:dyDescent="0.25">
      <c r="A3537">
        <v>219</v>
      </c>
    </row>
    <row r="3538" spans="1:1" x14ac:dyDescent="0.25">
      <c r="A3538">
        <v>4</v>
      </c>
    </row>
    <row r="3539" spans="1:1" x14ac:dyDescent="0.25">
      <c r="A3539">
        <v>410</v>
      </c>
    </row>
    <row r="3540" spans="1:1" x14ac:dyDescent="0.25">
      <c r="A3540" t="s">
        <v>1306</v>
      </c>
    </row>
    <row r="3541" spans="1:1" x14ac:dyDescent="0.25">
      <c r="A3541" t="s">
        <v>570</v>
      </c>
    </row>
    <row r="3542" spans="1:1" x14ac:dyDescent="0.25">
      <c r="A3542" t="s">
        <v>1307</v>
      </c>
    </row>
    <row r="3543" spans="1:1" x14ac:dyDescent="0.25">
      <c r="A3543">
        <v>890</v>
      </c>
    </row>
    <row r="3544" spans="1:1" x14ac:dyDescent="0.25">
      <c r="A3544">
        <v>76</v>
      </c>
    </row>
    <row r="3545" spans="1:1" x14ac:dyDescent="0.25">
      <c r="A3545">
        <v>195</v>
      </c>
    </row>
    <row r="3546" spans="1:1" x14ac:dyDescent="0.25">
      <c r="A3546">
        <v>102</v>
      </c>
    </row>
    <row r="3547" spans="1:1" x14ac:dyDescent="0.25">
      <c r="A3547">
        <v>4</v>
      </c>
    </row>
    <row r="3548" spans="1:1" x14ac:dyDescent="0.25">
      <c r="A3548">
        <v>411</v>
      </c>
    </row>
    <row r="3549" spans="1:1" x14ac:dyDescent="0.25">
      <c r="A3549" t="s">
        <v>1308</v>
      </c>
    </row>
    <row r="3550" spans="1:1" x14ac:dyDescent="0.25">
      <c r="A3550" t="s">
        <v>571</v>
      </c>
    </row>
    <row r="3551" spans="1:1" x14ac:dyDescent="0.25">
      <c r="A3551" t="s">
        <v>1307</v>
      </c>
    </row>
    <row r="3552" spans="1:1" x14ac:dyDescent="0.25">
      <c r="A3552">
        <v>1539</v>
      </c>
    </row>
    <row r="3553" spans="1:1" x14ac:dyDescent="0.25">
      <c r="A3553">
        <v>94</v>
      </c>
    </row>
    <row r="3554" spans="1:1" x14ac:dyDescent="0.25">
      <c r="A3554">
        <v>286</v>
      </c>
    </row>
    <row r="3555" spans="1:1" x14ac:dyDescent="0.25">
      <c r="A3555">
        <v>155</v>
      </c>
    </row>
    <row r="3556" spans="1:1" x14ac:dyDescent="0.25">
      <c r="A3556">
        <v>4</v>
      </c>
    </row>
    <row r="3557" spans="1:1" x14ac:dyDescent="0.25">
      <c r="A3557">
        <v>412</v>
      </c>
    </row>
    <row r="3558" spans="1:1" x14ac:dyDescent="0.25">
      <c r="A3558" t="s">
        <v>1309</v>
      </c>
    </row>
    <row r="3559" spans="1:1" x14ac:dyDescent="0.25">
      <c r="A3559" t="s">
        <v>1310</v>
      </c>
    </row>
    <row r="3560" spans="1:1" x14ac:dyDescent="0.25">
      <c r="A3560" t="s">
        <v>813</v>
      </c>
    </row>
    <row r="3561" spans="1:1" x14ac:dyDescent="0.25">
      <c r="A3561">
        <v>488</v>
      </c>
    </row>
    <row r="3562" spans="1:1" x14ac:dyDescent="0.25">
      <c r="A3562">
        <v>53</v>
      </c>
    </row>
    <row r="3563" spans="1:1" x14ac:dyDescent="0.25">
      <c r="A3563">
        <v>83</v>
      </c>
    </row>
    <row r="3564" spans="1:1" x14ac:dyDescent="0.25">
      <c r="A3564">
        <v>120</v>
      </c>
    </row>
    <row r="3565" spans="1:1" x14ac:dyDescent="0.25">
      <c r="A3565">
        <v>4</v>
      </c>
    </row>
    <row r="3566" spans="1:1" x14ac:dyDescent="0.25">
      <c r="A3566">
        <v>412</v>
      </c>
    </row>
    <row r="3567" spans="1:1" x14ac:dyDescent="0.25">
      <c r="A3567" t="s">
        <v>1311</v>
      </c>
    </row>
    <row r="3568" spans="1:1" x14ac:dyDescent="0.25">
      <c r="A3568" t="s">
        <v>1312</v>
      </c>
    </row>
    <row r="3569" spans="1:1" x14ac:dyDescent="0.25">
      <c r="A3569" t="s">
        <v>813</v>
      </c>
    </row>
    <row r="3570" spans="1:1" x14ac:dyDescent="0.25">
      <c r="A3570">
        <v>488</v>
      </c>
    </row>
    <row r="3571" spans="1:1" x14ac:dyDescent="0.25">
      <c r="A3571">
        <v>53</v>
      </c>
    </row>
    <row r="3572" spans="1:1" x14ac:dyDescent="0.25">
      <c r="A3572">
        <v>83</v>
      </c>
    </row>
    <row r="3573" spans="1:1" x14ac:dyDescent="0.25">
      <c r="A3573">
        <v>120</v>
      </c>
    </row>
    <row r="3574" spans="1:1" x14ac:dyDescent="0.25">
      <c r="A3574">
        <v>4</v>
      </c>
    </row>
    <row r="3575" spans="1:1" x14ac:dyDescent="0.25">
      <c r="A3575">
        <v>412</v>
      </c>
    </row>
    <row r="3576" spans="1:1" x14ac:dyDescent="0.25">
      <c r="A3576" t="s">
        <v>1313</v>
      </c>
    </row>
    <row r="3577" spans="1:1" x14ac:dyDescent="0.25">
      <c r="A3577" t="s">
        <v>1314</v>
      </c>
    </row>
    <row r="3578" spans="1:1" x14ac:dyDescent="0.25">
      <c r="A3578" t="s">
        <v>813</v>
      </c>
    </row>
    <row r="3579" spans="1:1" x14ac:dyDescent="0.25">
      <c r="A3579">
        <v>488</v>
      </c>
    </row>
    <row r="3580" spans="1:1" x14ac:dyDescent="0.25">
      <c r="A3580">
        <v>53</v>
      </c>
    </row>
    <row r="3581" spans="1:1" x14ac:dyDescent="0.25">
      <c r="A3581">
        <v>83</v>
      </c>
    </row>
    <row r="3582" spans="1:1" x14ac:dyDescent="0.25">
      <c r="A3582">
        <v>120</v>
      </c>
    </row>
    <row r="3583" spans="1:1" x14ac:dyDescent="0.25">
      <c r="A3583">
        <v>4</v>
      </c>
    </row>
    <row r="3584" spans="1:1" x14ac:dyDescent="0.25">
      <c r="A3584">
        <v>413</v>
      </c>
    </row>
    <row r="3585" spans="1:1" x14ac:dyDescent="0.25">
      <c r="A3585" t="s">
        <v>1315</v>
      </c>
    </row>
    <row r="3586" spans="1:1" x14ac:dyDescent="0.25">
      <c r="A3586" t="s">
        <v>1316</v>
      </c>
    </row>
    <row r="3587" spans="1:1" x14ac:dyDescent="0.25">
      <c r="A3587" t="s">
        <v>880</v>
      </c>
    </row>
    <row r="3588" spans="1:1" x14ac:dyDescent="0.25">
      <c r="A3588">
        <v>1773</v>
      </c>
    </row>
    <row r="3589" spans="1:1" x14ac:dyDescent="0.25">
      <c r="A3589">
        <v>141</v>
      </c>
    </row>
    <row r="3590" spans="1:1" x14ac:dyDescent="0.25">
      <c r="A3590">
        <v>180</v>
      </c>
    </row>
    <row r="3591" spans="1:1" x14ac:dyDescent="0.25">
      <c r="A3591">
        <v>155</v>
      </c>
    </row>
    <row r="3592" spans="1:1" x14ac:dyDescent="0.25">
      <c r="A3592">
        <v>4</v>
      </c>
    </row>
    <row r="3593" spans="1:1" x14ac:dyDescent="0.25">
      <c r="A3593">
        <v>413</v>
      </c>
    </row>
    <row r="3594" spans="1:1" x14ac:dyDescent="0.25">
      <c r="A3594" t="s">
        <v>1317</v>
      </c>
    </row>
    <row r="3595" spans="1:1" x14ac:dyDescent="0.25">
      <c r="A3595" t="s">
        <v>1318</v>
      </c>
    </row>
    <row r="3596" spans="1:1" x14ac:dyDescent="0.25">
      <c r="A3596" t="s">
        <v>1206</v>
      </c>
    </row>
    <row r="3597" spans="1:1" x14ac:dyDescent="0.25">
      <c r="A3597">
        <v>1773</v>
      </c>
    </row>
    <row r="3598" spans="1:1" x14ac:dyDescent="0.25">
      <c r="A3598">
        <v>141</v>
      </c>
    </row>
    <row r="3599" spans="1:1" x14ac:dyDescent="0.25">
      <c r="A3599">
        <v>180</v>
      </c>
    </row>
    <row r="3600" spans="1:1" x14ac:dyDescent="0.25">
      <c r="A3600">
        <v>155</v>
      </c>
    </row>
    <row r="3601" spans="1:1" x14ac:dyDescent="0.25">
      <c r="A3601">
        <v>4</v>
      </c>
    </row>
    <row r="3602" spans="1:1" x14ac:dyDescent="0.25">
      <c r="A3602">
        <v>413</v>
      </c>
    </row>
    <row r="3603" spans="1:1" x14ac:dyDescent="0.25">
      <c r="A3603" t="s">
        <v>1319</v>
      </c>
    </row>
    <row r="3604" spans="1:1" x14ac:dyDescent="0.25">
      <c r="A3604" t="s">
        <v>1320</v>
      </c>
    </row>
    <row r="3605" spans="1:1" x14ac:dyDescent="0.25">
      <c r="A3605" t="s">
        <v>1102</v>
      </c>
    </row>
    <row r="3606" spans="1:1" x14ac:dyDescent="0.25">
      <c r="A3606">
        <v>1593</v>
      </c>
    </row>
    <row r="3607" spans="1:1" x14ac:dyDescent="0.25">
      <c r="A3607">
        <v>127</v>
      </c>
    </row>
    <row r="3608" spans="1:1" x14ac:dyDescent="0.25">
      <c r="A3608">
        <v>175</v>
      </c>
    </row>
    <row r="3609" spans="1:1" x14ac:dyDescent="0.25">
      <c r="A3609">
        <v>155</v>
      </c>
    </row>
    <row r="3610" spans="1:1" x14ac:dyDescent="0.25">
      <c r="A3610">
        <v>4</v>
      </c>
    </row>
    <row r="3611" spans="1:1" x14ac:dyDescent="0.25">
      <c r="A3611">
        <v>414</v>
      </c>
    </row>
    <row r="3612" spans="1:1" x14ac:dyDescent="0.25">
      <c r="A3612" t="s">
        <v>1321</v>
      </c>
    </row>
    <row r="3613" spans="1:1" x14ac:dyDescent="0.25">
      <c r="A3613" t="s">
        <v>167</v>
      </c>
    </row>
    <row r="3614" spans="1:1" x14ac:dyDescent="0.25">
      <c r="A3614" t="s">
        <v>816</v>
      </c>
    </row>
    <row r="3615" spans="1:1" x14ac:dyDescent="0.25">
      <c r="A3615">
        <v>1815</v>
      </c>
    </row>
    <row r="3616" spans="1:1" x14ac:dyDescent="0.25">
      <c r="A3616">
        <v>185</v>
      </c>
    </row>
    <row r="3617" spans="1:1" x14ac:dyDescent="0.25">
      <c r="A3617">
        <v>98</v>
      </c>
    </row>
    <row r="3618" spans="1:1" x14ac:dyDescent="0.25">
      <c r="A3618">
        <v>172</v>
      </c>
    </row>
    <row r="3619" spans="1:1" x14ac:dyDescent="0.25">
      <c r="A3619">
        <v>4</v>
      </c>
    </row>
    <row r="3620" spans="1:1" x14ac:dyDescent="0.25">
      <c r="A3620">
        <v>415</v>
      </c>
    </row>
    <row r="3621" spans="1:1" x14ac:dyDescent="0.25">
      <c r="A3621" t="s">
        <v>1322</v>
      </c>
    </row>
    <row r="3622" spans="1:1" x14ac:dyDescent="0.25">
      <c r="A3622" t="s">
        <v>405</v>
      </c>
    </row>
    <row r="3623" spans="1:1" x14ac:dyDescent="0.25">
      <c r="A3623" t="s">
        <v>816</v>
      </c>
    </row>
    <row r="3624" spans="1:1" x14ac:dyDescent="0.25">
      <c r="A3624">
        <v>494</v>
      </c>
    </row>
    <row r="3625" spans="1:1" x14ac:dyDescent="0.25">
      <c r="A3625">
        <v>59</v>
      </c>
    </row>
    <row r="3626" spans="1:1" x14ac:dyDescent="0.25">
      <c r="A3626">
        <v>83</v>
      </c>
    </row>
    <row r="3627" spans="1:1" x14ac:dyDescent="0.25">
      <c r="A3627">
        <v>102</v>
      </c>
    </row>
    <row r="3628" spans="1:1" x14ac:dyDescent="0.25">
      <c r="A3628">
        <v>4</v>
      </c>
    </row>
    <row r="3629" spans="1:1" x14ac:dyDescent="0.25">
      <c r="A3629">
        <v>416</v>
      </c>
    </row>
    <row r="3630" spans="1:1" x14ac:dyDescent="0.25">
      <c r="A3630" t="s">
        <v>1323</v>
      </c>
    </row>
    <row r="3631" spans="1:1" x14ac:dyDescent="0.25">
      <c r="A3631" t="s">
        <v>406</v>
      </c>
    </row>
    <row r="3632" spans="1:1" x14ac:dyDescent="0.25">
      <c r="A3632" t="s">
        <v>816</v>
      </c>
    </row>
    <row r="3633" spans="1:1" x14ac:dyDescent="0.25">
      <c r="A3633">
        <v>2005</v>
      </c>
    </row>
    <row r="3634" spans="1:1" x14ac:dyDescent="0.25">
      <c r="A3634">
        <v>149</v>
      </c>
    </row>
    <row r="3635" spans="1:1" x14ac:dyDescent="0.25">
      <c r="A3635">
        <v>190</v>
      </c>
    </row>
    <row r="3636" spans="1:1" x14ac:dyDescent="0.25">
      <c r="A3636">
        <v>172</v>
      </c>
    </row>
    <row r="3637" spans="1:1" x14ac:dyDescent="0.25">
      <c r="A3637">
        <v>4</v>
      </c>
    </row>
    <row r="3638" spans="1:1" x14ac:dyDescent="0.25">
      <c r="A3638">
        <v>417</v>
      </c>
    </row>
    <row r="3639" spans="1:1" x14ac:dyDescent="0.25">
      <c r="A3639" t="s">
        <v>1324</v>
      </c>
    </row>
    <row r="3640" spans="1:1" x14ac:dyDescent="0.25">
      <c r="A3640" t="s">
        <v>572</v>
      </c>
    </row>
    <row r="3641" spans="1:1" x14ac:dyDescent="0.25">
      <c r="A3641" t="s">
        <v>839</v>
      </c>
    </row>
    <row r="3642" spans="1:1" x14ac:dyDescent="0.25">
      <c r="A3642">
        <v>1213</v>
      </c>
    </row>
    <row r="3643" spans="1:1" x14ac:dyDescent="0.25">
      <c r="A3643">
        <v>94</v>
      </c>
    </row>
    <row r="3644" spans="1:1" x14ac:dyDescent="0.25">
      <c r="A3644">
        <v>172</v>
      </c>
    </row>
    <row r="3645" spans="1:1" x14ac:dyDescent="0.25">
      <c r="A3645">
        <v>155</v>
      </c>
    </row>
    <row r="3646" spans="1:1" x14ac:dyDescent="0.25">
      <c r="A3646">
        <v>4</v>
      </c>
    </row>
    <row r="3647" spans="1:1" x14ac:dyDescent="0.25">
      <c r="A3647">
        <v>418</v>
      </c>
    </row>
    <row r="3648" spans="1:1" x14ac:dyDescent="0.25">
      <c r="A3648" t="s">
        <v>1325</v>
      </c>
    </row>
    <row r="3649" spans="1:1" x14ac:dyDescent="0.25">
      <c r="A3649" t="s">
        <v>407</v>
      </c>
    </row>
    <row r="3650" spans="1:1" x14ac:dyDescent="0.25">
      <c r="A3650" t="s">
        <v>809</v>
      </c>
    </row>
    <row r="3651" spans="1:1" x14ac:dyDescent="0.25">
      <c r="A3651">
        <v>1054</v>
      </c>
    </row>
    <row r="3652" spans="1:1" x14ac:dyDescent="0.25">
      <c r="A3652">
        <v>132</v>
      </c>
    </row>
    <row r="3653" spans="1:1" x14ac:dyDescent="0.25">
      <c r="A3653">
        <v>67</v>
      </c>
    </row>
    <row r="3654" spans="1:1" x14ac:dyDescent="0.25">
      <c r="A3654">
        <v>146</v>
      </c>
    </row>
    <row r="3655" spans="1:1" x14ac:dyDescent="0.25">
      <c r="A3655">
        <v>4</v>
      </c>
    </row>
    <row r="3656" spans="1:1" x14ac:dyDescent="0.25">
      <c r="A3656">
        <v>419</v>
      </c>
    </row>
    <row r="3657" spans="1:1" x14ac:dyDescent="0.25">
      <c r="A3657" t="s">
        <v>1326</v>
      </c>
    </row>
    <row r="3658" spans="1:1" x14ac:dyDescent="0.25">
      <c r="A3658" t="s">
        <v>408</v>
      </c>
    </row>
    <row r="3659" spans="1:1" x14ac:dyDescent="0.25">
      <c r="A3659" t="s">
        <v>809</v>
      </c>
    </row>
    <row r="3660" spans="1:1" x14ac:dyDescent="0.25">
      <c r="A3660">
        <v>2443</v>
      </c>
    </row>
    <row r="3661" spans="1:1" x14ac:dyDescent="0.25">
      <c r="A3661">
        <v>221</v>
      </c>
    </row>
    <row r="3662" spans="1:1" x14ac:dyDescent="0.25">
      <c r="A3662">
        <v>114</v>
      </c>
    </row>
    <row r="3663" spans="1:1" x14ac:dyDescent="0.25">
      <c r="A3663">
        <v>198</v>
      </c>
    </row>
    <row r="3664" spans="1:1" x14ac:dyDescent="0.25">
      <c r="A3664">
        <v>4</v>
      </c>
    </row>
    <row r="3665" spans="1:1" x14ac:dyDescent="0.25">
      <c r="A3665">
        <v>420</v>
      </c>
    </row>
    <row r="3666" spans="1:1" x14ac:dyDescent="0.25">
      <c r="A3666" t="s">
        <v>1327</v>
      </c>
    </row>
    <row r="3667" spans="1:1" x14ac:dyDescent="0.25">
      <c r="A3667" t="s">
        <v>697</v>
      </c>
    </row>
    <row r="3668" spans="1:1" x14ac:dyDescent="0.25">
      <c r="A3668" t="s">
        <v>988</v>
      </c>
    </row>
    <row r="3669" spans="1:1" x14ac:dyDescent="0.25">
      <c r="A3669">
        <v>950</v>
      </c>
    </row>
    <row r="3670" spans="1:1" x14ac:dyDescent="0.25">
      <c r="A3670">
        <v>108</v>
      </c>
    </row>
    <row r="3671" spans="1:1" x14ac:dyDescent="0.25">
      <c r="A3671">
        <v>92</v>
      </c>
    </row>
    <row r="3672" spans="1:1" x14ac:dyDescent="0.25">
      <c r="A3672">
        <v>128</v>
      </c>
    </row>
    <row r="3673" spans="1:1" x14ac:dyDescent="0.25">
      <c r="A3673">
        <v>4</v>
      </c>
    </row>
    <row r="3674" spans="1:1" x14ac:dyDescent="0.25">
      <c r="A3674">
        <v>421</v>
      </c>
    </row>
    <row r="3675" spans="1:1" x14ac:dyDescent="0.25">
      <c r="A3675" t="s">
        <v>1328</v>
      </c>
    </row>
    <row r="3676" spans="1:1" x14ac:dyDescent="0.25">
      <c r="A3676" t="s">
        <v>1329</v>
      </c>
    </row>
    <row r="3677" spans="1:1" x14ac:dyDescent="0.25">
      <c r="A3677" t="s">
        <v>988</v>
      </c>
    </row>
    <row r="3678" spans="1:1" x14ac:dyDescent="0.25">
      <c r="A3678">
        <v>2048</v>
      </c>
    </row>
    <row r="3679" spans="1:1" x14ac:dyDescent="0.25">
      <c r="A3679">
        <v>170</v>
      </c>
    </row>
    <row r="3680" spans="1:1" x14ac:dyDescent="0.25">
      <c r="A3680">
        <v>153</v>
      </c>
    </row>
    <row r="3681" spans="1:1" x14ac:dyDescent="0.25">
      <c r="A3681">
        <v>172</v>
      </c>
    </row>
    <row r="3682" spans="1:1" x14ac:dyDescent="0.25">
      <c r="A3682">
        <v>4</v>
      </c>
    </row>
    <row r="3683" spans="1:1" x14ac:dyDescent="0.25">
      <c r="A3683">
        <v>421</v>
      </c>
    </row>
    <row r="3684" spans="1:1" x14ac:dyDescent="0.25">
      <c r="A3684" t="s">
        <v>1330</v>
      </c>
    </row>
    <row r="3685" spans="1:1" x14ac:dyDescent="0.25">
      <c r="A3685" t="s">
        <v>1331</v>
      </c>
    </row>
    <row r="3686" spans="1:1" x14ac:dyDescent="0.25">
      <c r="A3686" t="s">
        <v>988</v>
      </c>
    </row>
    <row r="3687" spans="1:1" x14ac:dyDescent="0.25">
      <c r="A3687">
        <v>2048</v>
      </c>
    </row>
    <row r="3688" spans="1:1" x14ac:dyDescent="0.25">
      <c r="A3688">
        <v>170</v>
      </c>
    </row>
    <row r="3689" spans="1:1" x14ac:dyDescent="0.25">
      <c r="A3689">
        <v>153</v>
      </c>
    </row>
    <row r="3690" spans="1:1" x14ac:dyDescent="0.25">
      <c r="A3690">
        <v>172</v>
      </c>
    </row>
    <row r="3691" spans="1:1" x14ac:dyDescent="0.25">
      <c r="A3691">
        <v>4</v>
      </c>
    </row>
    <row r="3692" spans="1:1" x14ac:dyDescent="0.25">
      <c r="A3692">
        <v>422</v>
      </c>
    </row>
    <row r="3693" spans="1:1" x14ac:dyDescent="0.25">
      <c r="A3693" t="s">
        <v>1332</v>
      </c>
    </row>
    <row r="3694" spans="1:1" x14ac:dyDescent="0.25">
      <c r="A3694" t="s">
        <v>1333</v>
      </c>
    </row>
    <row r="3695" spans="1:1" x14ac:dyDescent="0.25">
      <c r="A3695" t="s">
        <v>809</v>
      </c>
    </row>
    <row r="3696" spans="1:1" x14ac:dyDescent="0.25">
      <c r="A3696">
        <v>1136</v>
      </c>
    </row>
    <row r="3697" spans="1:1" x14ac:dyDescent="0.25">
      <c r="A3697">
        <v>103</v>
      </c>
    </row>
    <row r="3698" spans="1:1" x14ac:dyDescent="0.25">
      <c r="A3698">
        <v>105</v>
      </c>
    </row>
    <row r="3699" spans="1:1" x14ac:dyDescent="0.25">
      <c r="A3699">
        <v>183</v>
      </c>
    </row>
    <row r="3700" spans="1:1" x14ac:dyDescent="0.25">
      <c r="A3700">
        <v>4</v>
      </c>
    </row>
    <row r="3701" spans="1:1" x14ac:dyDescent="0.25">
      <c r="A3701">
        <v>422</v>
      </c>
    </row>
    <row r="3702" spans="1:1" x14ac:dyDescent="0.25">
      <c r="A3702" t="s">
        <v>1334</v>
      </c>
    </row>
    <row r="3703" spans="1:1" x14ac:dyDescent="0.25">
      <c r="A3703" t="s">
        <v>1335</v>
      </c>
    </row>
    <row r="3704" spans="1:1" x14ac:dyDescent="0.25">
      <c r="A3704" t="s">
        <v>809</v>
      </c>
    </row>
    <row r="3705" spans="1:1" x14ac:dyDescent="0.25">
      <c r="A3705">
        <v>1136</v>
      </c>
    </row>
    <row r="3706" spans="1:1" x14ac:dyDescent="0.25">
      <c r="A3706">
        <v>103</v>
      </c>
    </row>
    <row r="3707" spans="1:1" x14ac:dyDescent="0.25">
      <c r="A3707">
        <v>105</v>
      </c>
    </row>
    <row r="3708" spans="1:1" x14ac:dyDescent="0.25">
      <c r="A3708">
        <v>183</v>
      </c>
    </row>
    <row r="3709" spans="1:1" x14ac:dyDescent="0.25">
      <c r="A3709">
        <v>4</v>
      </c>
    </row>
    <row r="3710" spans="1:1" x14ac:dyDescent="0.25">
      <c r="A3710">
        <v>423</v>
      </c>
    </row>
    <row r="3711" spans="1:1" x14ac:dyDescent="0.25">
      <c r="A3711" t="s">
        <v>1336</v>
      </c>
    </row>
    <row r="3712" spans="1:1" x14ac:dyDescent="0.25">
      <c r="A3712" t="s">
        <v>1337</v>
      </c>
    </row>
    <row r="3713" spans="1:1" x14ac:dyDescent="0.25">
      <c r="A3713" t="s">
        <v>1087</v>
      </c>
    </row>
    <row r="3714" spans="1:1" x14ac:dyDescent="0.25">
      <c r="A3714">
        <v>2324</v>
      </c>
    </row>
    <row r="3715" spans="1:1" x14ac:dyDescent="0.25">
      <c r="A3715">
        <v>169</v>
      </c>
    </row>
    <row r="3716" spans="1:1" x14ac:dyDescent="0.25">
      <c r="A3716">
        <v>143</v>
      </c>
    </row>
    <row r="3717" spans="1:1" x14ac:dyDescent="0.25">
      <c r="A3717">
        <v>244</v>
      </c>
    </row>
    <row r="3718" spans="1:1" x14ac:dyDescent="0.25">
      <c r="A3718">
        <v>4</v>
      </c>
    </row>
    <row r="3719" spans="1:1" x14ac:dyDescent="0.25">
      <c r="A3719">
        <v>423</v>
      </c>
    </row>
    <row r="3720" spans="1:1" x14ac:dyDescent="0.25">
      <c r="A3720" t="s">
        <v>1338</v>
      </c>
    </row>
    <row r="3721" spans="1:1" x14ac:dyDescent="0.25">
      <c r="A3721" t="s">
        <v>1339</v>
      </c>
    </row>
    <row r="3722" spans="1:1" x14ac:dyDescent="0.25">
      <c r="A3722" t="s">
        <v>1087</v>
      </c>
    </row>
    <row r="3723" spans="1:1" x14ac:dyDescent="0.25">
      <c r="A3723">
        <v>2324</v>
      </c>
    </row>
    <row r="3724" spans="1:1" x14ac:dyDescent="0.25">
      <c r="A3724">
        <v>169</v>
      </c>
    </row>
    <row r="3725" spans="1:1" x14ac:dyDescent="0.25">
      <c r="A3725">
        <v>143</v>
      </c>
    </row>
    <row r="3726" spans="1:1" x14ac:dyDescent="0.25">
      <c r="A3726">
        <v>244</v>
      </c>
    </row>
    <row r="3727" spans="1:1" x14ac:dyDescent="0.25">
      <c r="A3727">
        <v>4</v>
      </c>
    </row>
    <row r="3728" spans="1:1" x14ac:dyDescent="0.25">
      <c r="A3728">
        <v>424</v>
      </c>
    </row>
    <row r="3729" spans="1:1" x14ac:dyDescent="0.25">
      <c r="A3729" t="s">
        <v>1340</v>
      </c>
    </row>
    <row r="3730" spans="1:1" x14ac:dyDescent="0.25">
      <c r="A3730" t="s">
        <v>409</v>
      </c>
    </row>
    <row r="3731" spans="1:1" x14ac:dyDescent="0.25">
      <c r="A3731" t="s">
        <v>826</v>
      </c>
    </row>
    <row r="3732" spans="1:1" x14ac:dyDescent="0.25">
      <c r="A3732">
        <v>2418</v>
      </c>
    </row>
    <row r="3733" spans="1:1" x14ac:dyDescent="0.25">
      <c r="A3733">
        <v>205</v>
      </c>
    </row>
    <row r="3734" spans="1:1" x14ac:dyDescent="0.25">
      <c r="A3734">
        <v>143</v>
      </c>
    </row>
    <row r="3735" spans="1:1" x14ac:dyDescent="0.25">
      <c r="A3735">
        <v>181</v>
      </c>
    </row>
    <row r="3736" spans="1:1" x14ac:dyDescent="0.25">
      <c r="A3736">
        <v>4</v>
      </c>
    </row>
    <row r="3737" spans="1:1" x14ac:dyDescent="0.25">
      <c r="A3737">
        <v>425</v>
      </c>
    </row>
    <row r="3738" spans="1:1" x14ac:dyDescent="0.25">
      <c r="A3738" t="s">
        <v>1341</v>
      </c>
    </row>
    <row r="3739" spans="1:1" x14ac:dyDescent="0.25">
      <c r="A3739" t="s">
        <v>723</v>
      </c>
    </row>
    <row r="3740" spans="1:1" x14ac:dyDescent="0.25">
      <c r="A3740" t="s">
        <v>1342</v>
      </c>
    </row>
    <row r="3741" spans="1:1" x14ac:dyDescent="0.25">
      <c r="A3741">
        <v>1197</v>
      </c>
    </row>
    <row r="3742" spans="1:1" x14ac:dyDescent="0.25">
      <c r="A3742">
        <v>117</v>
      </c>
    </row>
    <row r="3743" spans="1:1" x14ac:dyDescent="0.25">
      <c r="A3743">
        <v>80</v>
      </c>
    </row>
    <row r="3744" spans="1:1" x14ac:dyDescent="0.25">
      <c r="A3744">
        <v>207</v>
      </c>
    </row>
    <row r="3745" spans="1:1" x14ac:dyDescent="0.25">
      <c r="A3745">
        <v>4</v>
      </c>
    </row>
    <row r="3746" spans="1:1" x14ac:dyDescent="0.25">
      <c r="A3746">
        <v>426</v>
      </c>
    </row>
    <row r="3747" spans="1:1" x14ac:dyDescent="0.25">
      <c r="A3747" t="s">
        <v>1343</v>
      </c>
    </row>
    <row r="3748" spans="1:1" x14ac:dyDescent="0.25">
      <c r="A3748" t="s">
        <v>573</v>
      </c>
    </row>
    <row r="3749" spans="1:1" x14ac:dyDescent="0.25">
      <c r="A3749" t="s">
        <v>1342</v>
      </c>
    </row>
    <row r="3750" spans="1:1" x14ac:dyDescent="0.25">
      <c r="A3750">
        <v>2382</v>
      </c>
    </row>
    <row r="3751" spans="1:1" x14ac:dyDescent="0.25">
      <c r="A3751">
        <v>180</v>
      </c>
    </row>
    <row r="3752" spans="1:1" x14ac:dyDescent="0.25">
      <c r="A3752">
        <v>102</v>
      </c>
    </row>
    <row r="3753" spans="1:1" x14ac:dyDescent="0.25">
      <c r="A3753">
        <v>312</v>
      </c>
    </row>
    <row r="3754" spans="1:1" x14ac:dyDescent="0.25">
      <c r="A3754">
        <v>4</v>
      </c>
    </row>
    <row r="3755" spans="1:1" x14ac:dyDescent="0.25">
      <c r="A3755">
        <v>427</v>
      </c>
    </row>
    <row r="3756" spans="1:1" x14ac:dyDescent="0.25">
      <c r="A3756" t="s">
        <v>1344</v>
      </c>
    </row>
    <row r="3757" spans="1:1" x14ac:dyDescent="0.25">
      <c r="A3757" t="s">
        <v>700</v>
      </c>
    </row>
    <row r="3758" spans="1:1" x14ac:dyDescent="0.25">
      <c r="A3758" t="s">
        <v>826</v>
      </c>
    </row>
    <row r="3759" spans="1:1" x14ac:dyDescent="0.25">
      <c r="A3759">
        <v>1258</v>
      </c>
    </row>
    <row r="3760" spans="1:1" x14ac:dyDescent="0.25">
      <c r="A3760">
        <v>130</v>
      </c>
    </row>
    <row r="3761" spans="1:1" x14ac:dyDescent="0.25">
      <c r="A3761">
        <v>105</v>
      </c>
    </row>
    <row r="3762" spans="1:1" x14ac:dyDescent="0.25">
      <c r="A3762">
        <v>146</v>
      </c>
    </row>
    <row r="3763" spans="1:1" x14ac:dyDescent="0.25">
      <c r="A3763">
        <v>4</v>
      </c>
    </row>
    <row r="3764" spans="1:1" x14ac:dyDescent="0.25">
      <c r="A3764">
        <v>428</v>
      </c>
    </row>
    <row r="3765" spans="1:1" x14ac:dyDescent="0.25">
      <c r="A3765" t="s">
        <v>1345</v>
      </c>
    </row>
    <row r="3766" spans="1:1" x14ac:dyDescent="0.25">
      <c r="A3766" t="s">
        <v>410</v>
      </c>
    </row>
    <row r="3767" spans="1:1" x14ac:dyDescent="0.25">
      <c r="A3767" t="s">
        <v>826</v>
      </c>
    </row>
    <row r="3768" spans="1:1" x14ac:dyDescent="0.25">
      <c r="A3768">
        <v>2059</v>
      </c>
    </row>
    <row r="3769" spans="1:1" x14ac:dyDescent="0.25">
      <c r="A3769">
        <v>156</v>
      </c>
    </row>
    <row r="3770" spans="1:1" x14ac:dyDescent="0.25">
      <c r="A3770">
        <v>194</v>
      </c>
    </row>
    <row r="3771" spans="1:1" x14ac:dyDescent="0.25">
      <c r="A3771">
        <v>163</v>
      </c>
    </row>
    <row r="3772" spans="1:1" x14ac:dyDescent="0.25">
      <c r="A3772">
        <v>4</v>
      </c>
    </row>
    <row r="3773" spans="1:1" x14ac:dyDescent="0.25">
      <c r="A3773">
        <v>429</v>
      </c>
    </row>
    <row r="3774" spans="1:1" x14ac:dyDescent="0.25">
      <c r="A3774" t="s">
        <v>1346</v>
      </c>
    </row>
    <row r="3775" spans="1:1" x14ac:dyDescent="0.25">
      <c r="A3775" t="s">
        <v>411</v>
      </c>
    </row>
    <row r="3776" spans="1:1" x14ac:dyDescent="0.25">
      <c r="A3776" t="s">
        <v>1095</v>
      </c>
    </row>
    <row r="3777" spans="1:1" x14ac:dyDescent="0.25">
      <c r="A3777">
        <v>2615</v>
      </c>
    </row>
    <row r="3778" spans="1:1" x14ac:dyDescent="0.25">
      <c r="A3778">
        <v>211</v>
      </c>
    </row>
    <row r="3779" spans="1:1" x14ac:dyDescent="0.25">
      <c r="A3779">
        <v>187</v>
      </c>
    </row>
    <row r="3780" spans="1:1" x14ac:dyDescent="0.25">
      <c r="A3780">
        <v>155</v>
      </c>
    </row>
    <row r="3781" spans="1:1" x14ac:dyDescent="0.25">
      <c r="A3781">
        <v>4</v>
      </c>
    </row>
    <row r="3782" spans="1:1" x14ac:dyDescent="0.25">
      <c r="A3782">
        <v>430</v>
      </c>
    </row>
    <row r="3783" spans="1:1" x14ac:dyDescent="0.25">
      <c r="A3783" t="s">
        <v>1347</v>
      </c>
    </row>
    <row r="3784" spans="1:1" x14ac:dyDescent="0.25">
      <c r="A3784" t="s">
        <v>412</v>
      </c>
    </row>
    <row r="3785" spans="1:1" x14ac:dyDescent="0.25">
      <c r="A3785" t="s">
        <v>1092</v>
      </c>
    </row>
    <row r="3786" spans="1:1" x14ac:dyDescent="0.25">
      <c r="A3786">
        <v>2711</v>
      </c>
    </row>
    <row r="3787" spans="1:1" x14ac:dyDescent="0.25">
      <c r="A3787">
        <v>243</v>
      </c>
    </row>
    <row r="3788" spans="1:1" x14ac:dyDescent="0.25">
      <c r="A3788">
        <v>103</v>
      </c>
    </row>
    <row r="3789" spans="1:1" x14ac:dyDescent="0.25">
      <c r="A3789">
        <v>225</v>
      </c>
    </row>
    <row r="3790" spans="1:1" x14ac:dyDescent="0.25">
      <c r="A3790">
        <v>4</v>
      </c>
    </row>
    <row r="3791" spans="1:1" x14ac:dyDescent="0.25">
      <c r="A3791">
        <v>431</v>
      </c>
    </row>
    <row r="3792" spans="1:1" x14ac:dyDescent="0.25">
      <c r="A3792" t="s">
        <v>1348</v>
      </c>
    </row>
    <row r="3793" spans="1:1" x14ac:dyDescent="0.25">
      <c r="A3793" t="s">
        <v>413</v>
      </c>
    </row>
    <row r="3794" spans="1:1" x14ac:dyDescent="0.25">
      <c r="A3794" t="s">
        <v>826</v>
      </c>
    </row>
    <row r="3795" spans="1:1" x14ac:dyDescent="0.25">
      <c r="A3795">
        <v>934</v>
      </c>
    </row>
    <row r="3796" spans="1:1" x14ac:dyDescent="0.25">
      <c r="A3796">
        <v>109</v>
      </c>
    </row>
    <row r="3797" spans="1:1" x14ac:dyDescent="0.25">
      <c r="A3797">
        <v>82</v>
      </c>
    </row>
    <row r="3798" spans="1:1" x14ac:dyDescent="0.25">
      <c r="A3798">
        <v>135</v>
      </c>
    </row>
    <row r="3799" spans="1:1" x14ac:dyDescent="0.25">
      <c r="A3799">
        <v>4</v>
      </c>
    </row>
    <row r="3800" spans="1:1" x14ac:dyDescent="0.25">
      <c r="A3800">
        <v>432</v>
      </c>
    </row>
    <row r="3801" spans="1:1" x14ac:dyDescent="0.25">
      <c r="A3801" t="s">
        <v>1349</v>
      </c>
    </row>
    <row r="3802" spans="1:1" x14ac:dyDescent="0.25">
      <c r="A3802" t="s">
        <v>414</v>
      </c>
    </row>
    <row r="3803" spans="1:1" x14ac:dyDescent="0.25">
      <c r="A3803" t="s">
        <v>826</v>
      </c>
    </row>
    <row r="3804" spans="1:1" x14ac:dyDescent="0.25">
      <c r="A3804">
        <v>1953</v>
      </c>
    </row>
    <row r="3805" spans="1:1" x14ac:dyDescent="0.25">
      <c r="A3805">
        <v>172</v>
      </c>
    </row>
    <row r="3806" spans="1:1" x14ac:dyDescent="0.25">
      <c r="A3806">
        <v>133</v>
      </c>
    </row>
    <row r="3807" spans="1:1" x14ac:dyDescent="0.25">
      <c r="A3807">
        <v>174</v>
      </c>
    </row>
    <row r="3808" spans="1:1" x14ac:dyDescent="0.25">
      <c r="A3808">
        <v>4</v>
      </c>
    </row>
    <row r="3809" spans="1:1" x14ac:dyDescent="0.25">
      <c r="A3809">
        <v>433</v>
      </c>
    </row>
    <row r="3810" spans="1:1" x14ac:dyDescent="0.25">
      <c r="A3810" t="s">
        <v>1350</v>
      </c>
    </row>
    <row r="3811" spans="1:1" x14ac:dyDescent="0.25">
      <c r="A3811" t="s">
        <v>574</v>
      </c>
    </row>
    <row r="3812" spans="1:1" x14ac:dyDescent="0.25">
      <c r="A3812" t="s">
        <v>910</v>
      </c>
    </row>
    <row r="3813" spans="1:1" x14ac:dyDescent="0.25">
      <c r="A3813">
        <v>1005</v>
      </c>
    </row>
    <row r="3814" spans="1:1" x14ac:dyDescent="0.25">
      <c r="A3814">
        <v>114</v>
      </c>
    </row>
    <row r="3815" spans="1:1" x14ac:dyDescent="0.25">
      <c r="A3815">
        <v>94</v>
      </c>
    </row>
    <row r="3816" spans="1:1" x14ac:dyDescent="0.25">
      <c r="A3816">
        <v>128</v>
      </c>
    </row>
    <row r="3817" spans="1:1" x14ac:dyDescent="0.25">
      <c r="A3817">
        <v>4</v>
      </c>
    </row>
    <row r="3818" spans="1:1" x14ac:dyDescent="0.25">
      <c r="A3818">
        <v>434</v>
      </c>
    </row>
    <row r="3819" spans="1:1" x14ac:dyDescent="0.25">
      <c r="A3819" t="s">
        <v>1351</v>
      </c>
    </row>
    <row r="3820" spans="1:1" x14ac:dyDescent="0.25">
      <c r="A3820" t="s">
        <v>415</v>
      </c>
    </row>
    <row r="3821" spans="1:1" x14ac:dyDescent="0.25">
      <c r="A3821" t="s">
        <v>950</v>
      </c>
    </row>
    <row r="3822" spans="1:1" x14ac:dyDescent="0.25">
      <c r="A3822">
        <v>1151</v>
      </c>
    </row>
    <row r="3823" spans="1:1" x14ac:dyDescent="0.25">
      <c r="A3823">
        <v>121</v>
      </c>
    </row>
    <row r="3824" spans="1:1" x14ac:dyDescent="0.25">
      <c r="A3824">
        <v>90</v>
      </c>
    </row>
    <row r="3825" spans="1:1" x14ac:dyDescent="0.25">
      <c r="A3825">
        <v>160</v>
      </c>
    </row>
    <row r="3826" spans="1:1" x14ac:dyDescent="0.25">
      <c r="A3826">
        <v>4</v>
      </c>
    </row>
    <row r="3827" spans="1:1" x14ac:dyDescent="0.25">
      <c r="A3827">
        <v>435</v>
      </c>
    </row>
    <row r="3828" spans="1:1" x14ac:dyDescent="0.25">
      <c r="A3828" t="s">
        <v>1352</v>
      </c>
    </row>
    <row r="3829" spans="1:1" x14ac:dyDescent="0.25">
      <c r="A3829" t="s">
        <v>416</v>
      </c>
    </row>
    <row r="3830" spans="1:1" x14ac:dyDescent="0.25">
      <c r="A3830" t="s">
        <v>950</v>
      </c>
    </row>
    <row r="3831" spans="1:1" x14ac:dyDescent="0.25">
      <c r="A3831">
        <v>2358</v>
      </c>
    </row>
    <row r="3832" spans="1:1" x14ac:dyDescent="0.25">
      <c r="A3832">
        <v>184</v>
      </c>
    </row>
    <row r="3833" spans="1:1" x14ac:dyDescent="0.25">
      <c r="A3833">
        <v>132</v>
      </c>
    </row>
    <row r="3834" spans="1:1" x14ac:dyDescent="0.25">
      <c r="A3834">
        <v>230</v>
      </c>
    </row>
    <row r="3835" spans="1:1" x14ac:dyDescent="0.25">
      <c r="A3835">
        <v>4</v>
      </c>
    </row>
    <row r="3836" spans="1:1" x14ac:dyDescent="0.25">
      <c r="A3836">
        <v>436</v>
      </c>
    </row>
    <row r="3837" spans="1:1" x14ac:dyDescent="0.25">
      <c r="A3837" t="s">
        <v>1353</v>
      </c>
    </row>
    <row r="3838" spans="1:1" x14ac:dyDescent="0.25">
      <c r="A3838" t="s">
        <v>417</v>
      </c>
    </row>
    <row r="3839" spans="1:1" x14ac:dyDescent="0.25">
      <c r="A3839" t="s">
        <v>1354</v>
      </c>
    </row>
    <row r="3840" spans="1:1" x14ac:dyDescent="0.25">
      <c r="A3840">
        <v>603</v>
      </c>
    </row>
    <row r="3841" spans="1:1" x14ac:dyDescent="0.25">
      <c r="A3841">
        <v>43</v>
      </c>
    </row>
    <row r="3842" spans="1:1" x14ac:dyDescent="0.25">
      <c r="A3842">
        <v>154</v>
      </c>
    </row>
    <row r="3843" spans="1:1" x14ac:dyDescent="0.25">
      <c r="A3843">
        <v>149</v>
      </c>
    </row>
    <row r="3844" spans="1:1" x14ac:dyDescent="0.25">
      <c r="A3844">
        <v>4</v>
      </c>
    </row>
    <row r="3845" spans="1:1" x14ac:dyDescent="0.25">
      <c r="A3845">
        <v>437</v>
      </c>
    </row>
    <row r="3846" spans="1:1" x14ac:dyDescent="0.25">
      <c r="A3846" t="s">
        <v>1355</v>
      </c>
    </row>
    <row r="3847" spans="1:1" x14ac:dyDescent="0.25">
      <c r="A3847" t="s">
        <v>418</v>
      </c>
    </row>
    <row r="3848" spans="1:1" x14ac:dyDescent="0.25">
      <c r="A3848" t="s">
        <v>1354</v>
      </c>
    </row>
    <row r="3849" spans="1:1" x14ac:dyDescent="0.25">
      <c r="A3849">
        <v>2239</v>
      </c>
    </row>
    <row r="3850" spans="1:1" x14ac:dyDescent="0.25">
      <c r="A3850">
        <v>161</v>
      </c>
    </row>
    <row r="3851" spans="1:1" x14ac:dyDescent="0.25">
      <c r="A3851">
        <v>213</v>
      </c>
    </row>
    <row r="3852" spans="1:1" x14ac:dyDescent="0.25">
      <c r="A3852">
        <v>167</v>
      </c>
    </row>
    <row r="3853" spans="1:1" x14ac:dyDescent="0.25">
      <c r="A3853">
        <v>4</v>
      </c>
    </row>
    <row r="3854" spans="1:1" x14ac:dyDescent="0.25">
      <c r="A3854">
        <v>438</v>
      </c>
    </row>
    <row r="3855" spans="1:1" x14ac:dyDescent="0.25">
      <c r="A3855" t="s">
        <v>1356</v>
      </c>
    </row>
    <row r="3856" spans="1:1" x14ac:dyDescent="0.25">
      <c r="A3856" t="s">
        <v>575</v>
      </c>
    </row>
    <row r="3857" spans="1:1" x14ac:dyDescent="0.25">
      <c r="A3857" t="s">
        <v>1076</v>
      </c>
    </row>
    <row r="3858" spans="1:1" x14ac:dyDescent="0.25">
      <c r="A3858">
        <v>1302</v>
      </c>
    </row>
    <row r="3859" spans="1:1" x14ac:dyDescent="0.25">
      <c r="A3859">
        <v>124</v>
      </c>
    </row>
    <row r="3860" spans="1:1" x14ac:dyDescent="0.25">
      <c r="A3860">
        <v>133</v>
      </c>
    </row>
    <row r="3861" spans="1:1" x14ac:dyDescent="0.25">
      <c r="A3861">
        <v>137</v>
      </c>
    </row>
    <row r="3862" spans="1:1" x14ac:dyDescent="0.25">
      <c r="A3862">
        <v>4</v>
      </c>
    </row>
    <row r="3863" spans="1:1" x14ac:dyDescent="0.25">
      <c r="A3863">
        <v>439</v>
      </c>
    </row>
    <row r="3864" spans="1:1" x14ac:dyDescent="0.25">
      <c r="A3864" t="s">
        <v>1357</v>
      </c>
    </row>
    <row r="3865" spans="1:1" x14ac:dyDescent="0.25">
      <c r="A3865" t="s">
        <v>576</v>
      </c>
    </row>
    <row r="3866" spans="1:1" x14ac:dyDescent="0.25">
      <c r="A3866" t="s">
        <v>997</v>
      </c>
    </row>
    <row r="3867" spans="1:1" x14ac:dyDescent="0.25">
      <c r="A3867">
        <v>1095</v>
      </c>
    </row>
    <row r="3868" spans="1:1" x14ac:dyDescent="0.25">
      <c r="A3868">
        <v>125</v>
      </c>
    </row>
    <row r="3869" spans="1:1" x14ac:dyDescent="0.25">
      <c r="A3869">
        <v>142</v>
      </c>
    </row>
    <row r="3870" spans="1:1" x14ac:dyDescent="0.25">
      <c r="A3870">
        <v>85</v>
      </c>
    </row>
    <row r="3871" spans="1:1" x14ac:dyDescent="0.25">
      <c r="A3871">
        <v>4</v>
      </c>
    </row>
    <row r="3872" spans="1:1" x14ac:dyDescent="0.25">
      <c r="A3872">
        <v>440</v>
      </c>
    </row>
    <row r="3873" spans="1:1" x14ac:dyDescent="0.25">
      <c r="A3873" t="s">
        <v>1358</v>
      </c>
    </row>
    <row r="3874" spans="1:1" x14ac:dyDescent="0.25">
      <c r="A3874" t="s">
        <v>577</v>
      </c>
    </row>
    <row r="3875" spans="1:1" x14ac:dyDescent="0.25">
      <c r="A3875" t="s">
        <v>826</v>
      </c>
    </row>
    <row r="3876" spans="1:1" x14ac:dyDescent="0.25">
      <c r="A3876">
        <v>371</v>
      </c>
    </row>
    <row r="3877" spans="1:1" x14ac:dyDescent="0.25">
      <c r="A3877">
        <v>25</v>
      </c>
    </row>
    <row r="3878" spans="1:1" x14ac:dyDescent="0.25">
      <c r="A3878">
        <v>77</v>
      </c>
    </row>
    <row r="3879" spans="1:1" x14ac:dyDescent="0.25">
      <c r="A3879">
        <v>225</v>
      </c>
    </row>
    <row r="3880" spans="1:1" x14ac:dyDescent="0.25">
      <c r="A3880">
        <v>4</v>
      </c>
    </row>
    <row r="3881" spans="1:1" x14ac:dyDescent="0.25">
      <c r="A3881">
        <v>441</v>
      </c>
    </row>
    <row r="3882" spans="1:1" x14ac:dyDescent="0.25">
      <c r="A3882" t="s">
        <v>1359</v>
      </c>
    </row>
    <row r="3883" spans="1:1" x14ac:dyDescent="0.25">
      <c r="A3883" t="s">
        <v>578</v>
      </c>
    </row>
    <row r="3884" spans="1:1" x14ac:dyDescent="0.25">
      <c r="A3884" t="s">
        <v>822</v>
      </c>
    </row>
    <row r="3885" spans="1:1" x14ac:dyDescent="0.25">
      <c r="A3885">
        <v>1791</v>
      </c>
    </row>
    <row r="3886" spans="1:1" x14ac:dyDescent="0.25">
      <c r="A3886">
        <v>183</v>
      </c>
    </row>
    <row r="3887" spans="1:1" x14ac:dyDescent="0.25">
      <c r="A3887">
        <v>91</v>
      </c>
    </row>
    <row r="3888" spans="1:1" x14ac:dyDescent="0.25">
      <c r="A3888">
        <v>183</v>
      </c>
    </row>
    <row r="3889" spans="1:1" x14ac:dyDescent="0.25">
      <c r="A3889">
        <v>4</v>
      </c>
    </row>
    <row r="3890" spans="1:1" x14ac:dyDescent="0.25">
      <c r="A3890">
        <v>442</v>
      </c>
    </row>
    <row r="3891" spans="1:1" x14ac:dyDescent="0.25">
      <c r="A3891" t="s">
        <v>1360</v>
      </c>
    </row>
    <row r="3892" spans="1:1" x14ac:dyDescent="0.25">
      <c r="A3892" t="s">
        <v>579</v>
      </c>
    </row>
    <row r="3893" spans="1:1" x14ac:dyDescent="0.25">
      <c r="A3893" t="s">
        <v>1361</v>
      </c>
    </row>
    <row r="3894" spans="1:1" x14ac:dyDescent="0.25">
      <c r="A3894">
        <v>2072</v>
      </c>
    </row>
    <row r="3895" spans="1:1" x14ac:dyDescent="0.25">
      <c r="A3895">
        <v>169</v>
      </c>
    </row>
    <row r="3896" spans="1:1" x14ac:dyDescent="0.25">
      <c r="A3896">
        <v>199</v>
      </c>
    </row>
    <row r="3897" spans="1:1" x14ac:dyDescent="0.25">
      <c r="A3897">
        <v>137</v>
      </c>
    </row>
    <row r="3898" spans="1:1" x14ac:dyDescent="0.25">
      <c r="A3898">
        <v>4</v>
      </c>
    </row>
    <row r="3899" spans="1:1" x14ac:dyDescent="0.25">
      <c r="A3899">
        <v>443</v>
      </c>
    </row>
    <row r="3900" spans="1:1" x14ac:dyDescent="0.25">
      <c r="A3900" t="s">
        <v>1362</v>
      </c>
    </row>
    <row r="3901" spans="1:1" x14ac:dyDescent="0.25">
      <c r="A3901" t="s">
        <v>580</v>
      </c>
    </row>
    <row r="3902" spans="1:1" x14ac:dyDescent="0.25">
      <c r="A3902" t="s">
        <v>1363</v>
      </c>
    </row>
    <row r="3903" spans="1:1" x14ac:dyDescent="0.25">
      <c r="A3903">
        <v>1112</v>
      </c>
    </row>
    <row r="3904" spans="1:1" x14ac:dyDescent="0.25">
      <c r="A3904">
        <v>124</v>
      </c>
    </row>
    <row r="3905" spans="1:1" x14ac:dyDescent="0.25">
      <c r="A3905">
        <v>84</v>
      </c>
    </row>
    <row r="3906" spans="1:1" x14ac:dyDescent="0.25">
      <c r="A3906">
        <v>151</v>
      </c>
    </row>
    <row r="3907" spans="1:1" x14ac:dyDescent="0.25">
      <c r="A3907">
        <v>4</v>
      </c>
    </row>
    <row r="3908" spans="1:1" x14ac:dyDescent="0.25">
      <c r="A3908">
        <v>444</v>
      </c>
    </row>
    <row r="3909" spans="1:1" x14ac:dyDescent="0.25">
      <c r="A3909" t="s">
        <v>1364</v>
      </c>
    </row>
    <row r="3910" spans="1:1" x14ac:dyDescent="0.25">
      <c r="A3910" t="s">
        <v>581</v>
      </c>
    </row>
    <row r="3911" spans="1:1" x14ac:dyDescent="0.25">
      <c r="A3911" t="s">
        <v>1363</v>
      </c>
    </row>
    <row r="3912" spans="1:1" x14ac:dyDescent="0.25">
      <c r="A3912">
        <v>1874</v>
      </c>
    </row>
    <row r="3913" spans="1:1" x14ac:dyDescent="0.25">
      <c r="A3913">
        <v>172</v>
      </c>
    </row>
    <row r="3914" spans="1:1" x14ac:dyDescent="0.25">
      <c r="A3914">
        <v>125</v>
      </c>
    </row>
    <row r="3915" spans="1:1" x14ac:dyDescent="0.25">
      <c r="A3915">
        <v>169</v>
      </c>
    </row>
    <row r="3916" spans="1:1" x14ac:dyDescent="0.25">
      <c r="A3916">
        <v>4</v>
      </c>
    </row>
    <row r="3917" spans="1:1" x14ac:dyDescent="0.25">
      <c r="A3917">
        <v>445</v>
      </c>
    </row>
    <row r="3918" spans="1:1" x14ac:dyDescent="0.25">
      <c r="A3918" t="s">
        <v>1365</v>
      </c>
    </row>
    <row r="3919" spans="1:1" x14ac:dyDescent="0.25">
      <c r="A3919" t="s">
        <v>582</v>
      </c>
    </row>
    <row r="3920" spans="1:1" x14ac:dyDescent="0.25">
      <c r="A3920" t="s">
        <v>1363</v>
      </c>
    </row>
    <row r="3921" spans="1:1" x14ac:dyDescent="0.25">
      <c r="A3921">
        <v>3962</v>
      </c>
    </row>
    <row r="3922" spans="1:1" x14ac:dyDescent="0.25">
      <c r="A3922">
        <v>261</v>
      </c>
    </row>
    <row r="3923" spans="1:1" x14ac:dyDescent="0.25">
      <c r="A3923">
        <v>193</v>
      </c>
    </row>
    <row r="3924" spans="1:1" x14ac:dyDescent="0.25">
      <c r="A3924">
        <v>239</v>
      </c>
    </row>
    <row r="3925" spans="1:1" x14ac:dyDescent="0.25">
      <c r="A3925">
        <v>4</v>
      </c>
    </row>
    <row r="3926" spans="1:1" x14ac:dyDescent="0.25">
      <c r="A3926">
        <v>446</v>
      </c>
    </row>
    <row r="3927" spans="1:1" x14ac:dyDescent="0.25">
      <c r="A3927" t="s">
        <v>1366</v>
      </c>
    </row>
    <row r="3928" spans="1:1" x14ac:dyDescent="0.25">
      <c r="A3928" t="s">
        <v>583</v>
      </c>
    </row>
    <row r="3929" spans="1:1" x14ac:dyDescent="0.25">
      <c r="A3929" t="s">
        <v>826</v>
      </c>
    </row>
    <row r="3930" spans="1:1" x14ac:dyDescent="0.25">
      <c r="A3930">
        <v>1892</v>
      </c>
    </row>
    <row r="3931" spans="1:1" x14ac:dyDescent="0.25">
      <c r="A3931">
        <v>137</v>
      </c>
    </row>
    <row r="3932" spans="1:1" x14ac:dyDescent="0.25">
      <c r="A3932">
        <v>117</v>
      </c>
    </row>
    <row r="3933" spans="1:1" x14ac:dyDescent="0.25">
      <c r="A3933">
        <v>286</v>
      </c>
    </row>
    <row r="3934" spans="1:1" x14ac:dyDescent="0.25">
      <c r="A3934">
        <v>4</v>
      </c>
    </row>
    <row r="3935" spans="1:1" x14ac:dyDescent="0.25">
      <c r="A3935">
        <v>447</v>
      </c>
    </row>
    <row r="3936" spans="1:1" x14ac:dyDescent="0.25">
      <c r="A3936" t="s">
        <v>1367</v>
      </c>
    </row>
    <row r="3937" spans="1:1" x14ac:dyDescent="0.25">
      <c r="A3937" t="s">
        <v>584</v>
      </c>
    </row>
    <row r="3938" spans="1:1" x14ac:dyDescent="0.25">
      <c r="A3938" t="s">
        <v>901</v>
      </c>
    </row>
    <row r="3939" spans="1:1" x14ac:dyDescent="0.25">
      <c r="A3939">
        <v>993</v>
      </c>
    </row>
    <row r="3940" spans="1:1" x14ac:dyDescent="0.25">
      <c r="A3940">
        <v>127</v>
      </c>
    </row>
    <row r="3941" spans="1:1" x14ac:dyDescent="0.25">
      <c r="A3941">
        <v>78</v>
      </c>
    </row>
    <row r="3942" spans="1:1" x14ac:dyDescent="0.25">
      <c r="A3942">
        <v>120</v>
      </c>
    </row>
    <row r="3943" spans="1:1" x14ac:dyDescent="0.25">
      <c r="A3943">
        <v>4</v>
      </c>
    </row>
    <row r="3944" spans="1:1" x14ac:dyDescent="0.25">
      <c r="A3944">
        <v>448</v>
      </c>
    </row>
    <row r="3945" spans="1:1" x14ac:dyDescent="0.25">
      <c r="A3945" t="s">
        <v>1368</v>
      </c>
    </row>
    <row r="3946" spans="1:1" x14ac:dyDescent="0.25">
      <c r="A3946" t="s">
        <v>585</v>
      </c>
    </row>
    <row r="3947" spans="1:1" x14ac:dyDescent="0.25">
      <c r="A3947" t="s">
        <v>1369</v>
      </c>
    </row>
    <row r="3948" spans="1:1" x14ac:dyDescent="0.25">
      <c r="A3948">
        <v>2703</v>
      </c>
    </row>
    <row r="3949" spans="1:1" x14ac:dyDescent="0.25">
      <c r="A3949">
        <v>236</v>
      </c>
    </row>
    <row r="3950" spans="1:1" x14ac:dyDescent="0.25">
      <c r="A3950">
        <v>144</v>
      </c>
    </row>
    <row r="3951" spans="1:1" x14ac:dyDescent="0.25">
      <c r="A3951">
        <v>172</v>
      </c>
    </row>
    <row r="3952" spans="1:1" x14ac:dyDescent="0.25">
      <c r="A3952">
        <v>4</v>
      </c>
    </row>
    <row r="3953" spans="1:1" x14ac:dyDescent="0.25">
      <c r="A3953">
        <v>449</v>
      </c>
    </row>
    <row r="3954" spans="1:1" x14ac:dyDescent="0.25">
      <c r="A3954" t="s">
        <v>1370</v>
      </c>
    </row>
    <row r="3955" spans="1:1" x14ac:dyDescent="0.25">
      <c r="A3955" t="s">
        <v>419</v>
      </c>
    </row>
    <row r="3956" spans="1:1" x14ac:dyDescent="0.25">
      <c r="A3956" t="s">
        <v>845</v>
      </c>
    </row>
    <row r="3957" spans="1:1" x14ac:dyDescent="0.25">
      <c r="A3957">
        <v>1358</v>
      </c>
    </row>
    <row r="3958" spans="1:1" x14ac:dyDescent="0.25">
      <c r="A3958">
        <v>124</v>
      </c>
    </row>
    <row r="3959" spans="1:1" x14ac:dyDescent="0.25">
      <c r="A3959">
        <v>118</v>
      </c>
    </row>
    <row r="3960" spans="1:1" x14ac:dyDescent="0.25">
      <c r="A3960">
        <v>169</v>
      </c>
    </row>
    <row r="3961" spans="1:1" x14ac:dyDescent="0.25">
      <c r="A3961">
        <v>4</v>
      </c>
    </row>
    <row r="3962" spans="1:1" x14ac:dyDescent="0.25">
      <c r="A3962">
        <v>450</v>
      </c>
    </row>
    <row r="3963" spans="1:1" x14ac:dyDescent="0.25">
      <c r="A3963" t="s">
        <v>1371</v>
      </c>
    </row>
    <row r="3964" spans="1:1" x14ac:dyDescent="0.25">
      <c r="A3964" t="s">
        <v>420</v>
      </c>
    </row>
    <row r="3965" spans="1:1" x14ac:dyDescent="0.25">
      <c r="A3965" t="s">
        <v>845</v>
      </c>
    </row>
    <row r="3966" spans="1:1" x14ac:dyDescent="0.25">
      <c r="A3966">
        <v>3085</v>
      </c>
    </row>
    <row r="3967" spans="1:1" x14ac:dyDescent="0.25">
      <c r="A3967">
        <v>201</v>
      </c>
    </row>
    <row r="3968" spans="1:1" x14ac:dyDescent="0.25">
      <c r="A3968">
        <v>191</v>
      </c>
    </row>
    <row r="3969" spans="1:1" x14ac:dyDescent="0.25">
      <c r="A3969">
        <v>239</v>
      </c>
    </row>
    <row r="3970" spans="1:1" x14ac:dyDescent="0.25">
      <c r="A3970">
        <v>4</v>
      </c>
    </row>
    <row r="3971" spans="1:1" x14ac:dyDescent="0.25">
      <c r="A3971">
        <v>451</v>
      </c>
    </row>
    <row r="3972" spans="1:1" x14ac:dyDescent="0.25">
      <c r="A3972" t="s">
        <v>1372</v>
      </c>
    </row>
    <row r="3973" spans="1:1" x14ac:dyDescent="0.25">
      <c r="A3973" t="s">
        <v>586</v>
      </c>
    </row>
    <row r="3974" spans="1:1" x14ac:dyDescent="0.25">
      <c r="A3974" t="s">
        <v>1373</v>
      </c>
    </row>
    <row r="3975" spans="1:1" x14ac:dyDescent="0.25">
      <c r="A3975">
        <v>1009</v>
      </c>
    </row>
    <row r="3976" spans="1:1" x14ac:dyDescent="0.25">
      <c r="A3976">
        <v>93</v>
      </c>
    </row>
    <row r="3977" spans="1:1" x14ac:dyDescent="0.25">
      <c r="A3977">
        <v>151</v>
      </c>
    </row>
    <row r="3978" spans="1:1" x14ac:dyDescent="0.25">
      <c r="A3978">
        <v>120</v>
      </c>
    </row>
    <row r="3979" spans="1:1" x14ac:dyDescent="0.25">
      <c r="A3979">
        <v>4</v>
      </c>
    </row>
    <row r="3980" spans="1:1" x14ac:dyDescent="0.25">
      <c r="A3980">
        <v>452</v>
      </c>
    </row>
    <row r="3981" spans="1:1" x14ac:dyDescent="0.25">
      <c r="A3981" t="s">
        <v>1374</v>
      </c>
    </row>
    <row r="3982" spans="1:1" x14ac:dyDescent="0.25">
      <c r="A3982" t="s">
        <v>587</v>
      </c>
    </row>
    <row r="3983" spans="1:1" x14ac:dyDescent="0.25">
      <c r="A3983" t="s">
        <v>950</v>
      </c>
    </row>
    <row r="3984" spans="1:1" x14ac:dyDescent="0.25">
      <c r="A3984">
        <v>2453</v>
      </c>
    </row>
    <row r="3985" spans="1:1" x14ac:dyDescent="0.25">
      <c r="A3985">
        <v>180</v>
      </c>
    </row>
    <row r="3986" spans="1:1" x14ac:dyDescent="0.25">
      <c r="A3986">
        <v>202</v>
      </c>
    </row>
    <row r="3987" spans="1:1" x14ac:dyDescent="0.25">
      <c r="A3987">
        <v>172</v>
      </c>
    </row>
    <row r="3988" spans="1:1" x14ac:dyDescent="0.25">
      <c r="A3988">
        <v>4</v>
      </c>
    </row>
    <row r="3989" spans="1:1" x14ac:dyDescent="0.25">
      <c r="A3989">
        <v>453</v>
      </c>
    </row>
    <row r="3990" spans="1:1" x14ac:dyDescent="0.25">
      <c r="A3990" t="s">
        <v>1375</v>
      </c>
    </row>
    <row r="3991" spans="1:1" x14ac:dyDescent="0.25">
      <c r="A3991" t="s">
        <v>421</v>
      </c>
    </row>
    <row r="3992" spans="1:1" x14ac:dyDescent="0.25">
      <c r="A3992" t="s">
        <v>1376</v>
      </c>
    </row>
    <row r="3993" spans="1:1" x14ac:dyDescent="0.25">
      <c r="A3993">
        <v>952</v>
      </c>
    </row>
    <row r="3994" spans="1:1" x14ac:dyDescent="0.25">
      <c r="A3994">
        <v>116</v>
      </c>
    </row>
    <row r="3995" spans="1:1" x14ac:dyDescent="0.25">
      <c r="A3995">
        <v>76</v>
      </c>
    </row>
    <row r="3996" spans="1:1" x14ac:dyDescent="0.25">
      <c r="A3996">
        <v>134</v>
      </c>
    </row>
    <row r="3997" spans="1:1" x14ac:dyDescent="0.25">
      <c r="A3997">
        <v>4</v>
      </c>
    </row>
    <row r="3998" spans="1:1" x14ac:dyDescent="0.25">
      <c r="A3998">
        <v>454</v>
      </c>
    </row>
    <row r="3999" spans="1:1" x14ac:dyDescent="0.25">
      <c r="A3999" t="s">
        <v>1377</v>
      </c>
    </row>
    <row r="4000" spans="1:1" x14ac:dyDescent="0.25">
      <c r="A4000" t="s">
        <v>422</v>
      </c>
    </row>
    <row r="4001" spans="1:1" x14ac:dyDescent="0.25">
      <c r="A4001" t="s">
        <v>1376</v>
      </c>
    </row>
    <row r="4002" spans="1:1" x14ac:dyDescent="0.25">
      <c r="A4002">
        <v>2488</v>
      </c>
    </row>
    <row r="4003" spans="1:1" x14ac:dyDescent="0.25">
      <c r="A4003">
        <v>211</v>
      </c>
    </row>
    <row r="4004" spans="1:1" x14ac:dyDescent="0.25">
      <c r="A4004">
        <v>133</v>
      </c>
    </row>
    <row r="4005" spans="1:1" x14ac:dyDescent="0.25">
      <c r="A4005">
        <v>195</v>
      </c>
    </row>
    <row r="4006" spans="1:1" x14ac:dyDescent="0.25">
      <c r="A4006">
        <v>4</v>
      </c>
    </row>
    <row r="4007" spans="1:1" x14ac:dyDescent="0.25">
      <c r="A4007">
        <v>455</v>
      </c>
    </row>
    <row r="4008" spans="1:1" x14ac:dyDescent="0.25">
      <c r="A4008" t="s">
        <v>1378</v>
      </c>
    </row>
    <row r="4009" spans="1:1" x14ac:dyDescent="0.25">
      <c r="A4009" t="s">
        <v>588</v>
      </c>
    </row>
    <row r="4010" spans="1:1" x14ac:dyDescent="0.25">
      <c r="A4010" t="s">
        <v>988</v>
      </c>
    </row>
    <row r="4011" spans="1:1" x14ac:dyDescent="0.25">
      <c r="A4011">
        <v>2159</v>
      </c>
    </row>
    <row r="4012" spans="1:1" x14ac:dyDescent="0.25">
      <c r="A4012">
        <v>187</v>
      </c>
    </row>
    <row r="4013" spans="1:1" x14ac:dyDescent="0.25">
      <c r="A4013">
        <v>136</v>
      </c>
    </row>
    <row r="4014" spans="1:1" x14ac:dyDescent="0.25">
      <c r="A4014">
        <v>179</v>
      </c>
    </row>
    <row r="4015" spans="1:1" x14ac:dyDescent="0.25">
      <c r="A4015">
        <v>4</v>
      </c>
    </row>
    <row r="4016" spans="1:1" x14ac:dyDescent="0.25">
      <c r="A4016">
        <v>456</v>
      </c>
    </row>
    <row r="4017" spans="1:1" x14ac:dyDescent="0.25">
      <c r="A4017" t="s">
        <v>1379</v>
      </c>
    </row>
    <row r="4018" spans="1:1" x14ac:dyDescent="0.25">
      <c r="A4018" t="s">
        <v>423</v>
      </c>
    </row>
    <row r="4019" spans="1:1" x14ac:dyDescent="0.25">
      <c r="A4019" t="s">
        <v>809</v>
      </c>
    </row>
    <row r="4020" spans="1:1" x14ac:dyDescent="0.25">
      <c r="A4020">
        <v>971</v>
      </c>
    </row>
    <row r="4021" spans="1:1" x14ac:dyDescent="0.25">
      <c r="A4021">
        <v>96</v>
      </c>
    </row>
    <row r="4022" spans="1:1" x14ac:dyDescent="0.25">
      <c r="A4022">
        <v>116</v>
      </c>
    </row>
    <row r="4023" spans="1:1" x14ac:dyDescent="0.25">
      <c r="A4023">
        <v>135</v>
      </c>
    </row>
    <row r="4024" spans="1:1" x14ac:dyDescent="0.25">
      <c r="A4024">
        <v>4</v>
      </c>
    </row>
    <row r="4025" spans="1:1" x14ac:dyDescent="0.25">
      <c r="A4025">
        <v>457</v>
      </c>
    </row>
    <row r="4026" spans="1:1" x14ac:dyDescent="0.25">
      <c r="A4026" t="s">
        <v>1380</v>
      </c>
    </row>
    <row r="4027" spans="1:1" x14ac:dyDescent="0.25">
      <c r="A4027" t="s">
        <v>424</v>
      </c>
    </row>
    <row r="4028" spans="1:1" x14ac:dyDescent="0.25">
      <c r="A4028" t="s">
        <v>809</v>
      </c>
    </row>
    <row r="4029" spans="1:1" x14ac:dyDescent="0.25">
      <c r="A4029">
        <v>1814</v>
      </c>
    </row>
    <row r="4030" spans="1:1" x14ac:dyDescent="0.25">
      <c r="A4030">
        <v>142</v>
      </c>
    </row>
    <row r="4031" spans="1:1" x14ac:dyDescent="0.25">
      <c r="A4031">
        <v>170</v>
      </c>
    </row>
    <row r="4032" spans="1:1" x14ac:dyDescent="0.25">
      <c r="A4032">
        <v>170</v>
      </c>
    </row>
    <row r="4033" spans="1:1" x14ac:dyDescent="0.25">
      <c r="A4033">
        <v>4</v>
      </c>
    </row>
    <row r="4034" spans="1:1" x14ac:dyDescent="0.25">
      <c r="A4034">
        <v>458</v>
      </c>
    </row>
    <row r="4035" spans="1:1" x14ac:dyDescent="0.25">
      <c r="A4035" t="s">
        <v>1381</v>
      </c>
    </row>
    <row r="4036" spans="1:1" x14ac:dyDescent="0.25">
      <c r="A4036" t="s">
        <v>589</v>
      </c>
    </row>
    <row r="4037" spans="1:1" x14ac:dyDescent="0.25">
      <c r="A4037" t="s">
        <v>1007</v>
      </c>
    </row>
    <row r="4038" spans="1:1" x14ac:dyDescent="0.25">
      <c r="A4038">
        <v>1248</v>
      </c>
    </row>
    <row r="4039" spans="1:1" x14ac:dyDescent="0.25">
      <c r="A4039">
        <v>105</v>
      </c>
    </row>
    <row r="4040" spans="1:1" x14ac:dyDescent="0.25">
      <c r="A4040">
        <v>179</v>
      </c>
    </row>
    <row r="4041" spans="1:1" x14ac:dyDescent="0.25">
      <c r="A4041">
        <v>128</v>
      </c>
    </row>
    <row r="4042" spans="1:1" x14ac:dyDescent="0.25">
      <c r="A4042">
        <v>4</v>
      </c>
    </row>
    <row r="4043" spans="1:1" x14ac:dyDescent="0.25">
      <c r="A4043">
        <v>459</v>
      </c>
    </row>
    <row r="4044" spans="1:1" x14ac:dyDescent="0.25">
      <c r="A4044" t="s">
        <v>1382</v>
      </c>
    </row>
    <row r="4045" spans="1:1" x14ac:dyDescent="0.25">
      <c r="A4045" t="s">
        <v>425</v>
      </c>
    </row>
    <row r="4046" spans="1:1" x14ac:dyDescent="0.25">
      <c r="A4046" t="s">
        <v>1383</v>
      </c>
    </row>
    <row r="4047" spans="1:1" x14ac:dyDescent="0.25">
      <c r="A4047">
        <v>1159</v>
      </c>
    </row>
    <row r="4048" spans="1:1" x14ac:dyDescent="0.25">
      <c r="A4048">
        <v>115</v>
      </c>
    </row>
    <row r="4049" spans="1:1" x14ac:dyDescent="0.25">
      <c r="A4049">
        <v>105</v>
      </c>
    </row>
    <row r="4050" spans="1:1" x14ac:dyDescent="0.25">
      <c r="A4050">
        <v>155</v>
      </c>
    </row>
    <row r="4051" spans="1:1" x14ac:dyDescent="0.25">
      <c r="A4051">
        <v>4</v>
      </c>
    </row>
    <row r="4052" spans="1:1" x14ac:dyDescent="0.25">
      <c r="A4052">
        <v>460</v>
      </c>
    </row>
    <row r="4053" spans="1:1" x14ac:dyDescent="0.25">
      <c r="A4053" t="s">
        <v>1384</v>
      </c>
    </row>
    <row r="4054" spans="1:1" x14ac:dyDescent="0.25">
      <c r="A4054" t="s">
        <v>426</v>
      </c>
    </row>
    <row r="4055" spans="1:1" x14ac:dyDescent="0.25">
      <c r="A4055" t="s">
        <v>1383</v>
      </c>
    </row>
    <row r="4056" spans="1:1" x14ac:dyDescent="0.25">
      <c r="A4056">
        <v>2362</v>
      </c>
    </row>
    <row r="4057" spans="1:1" x14ac:dyDescent="0.25">
      <c r="A4057">
        <v>178</v>
      </c>
    </row>
    <row r="4058" spans="1:1" x14ac:dyDescent="0.25">
      <c r="A4058">
        <v>158</v>
      </c>
    </row>
    <row r="4059" spans="1:1" x14ac:dyDescent="0.25">
      <c r="A4059">
        <v>207</v>
      </c>
    </row>
    <row r="4060" spans="1:1" x14ac:dyDescent="0.25">
      <c r="A4060">
        <v>4</v>
      </c>
    </row>
    <row r="4061" spans="1:1" x14ac:dyDescent="0.25">
      <c r="A4061">
        <v>461</v>
      </c>
    </row>
    <row r="4062" spans="1:1" x14ac:dyDescent="0.25">
      <c r="A4062" t="s">
        <v>1385</v>
      </c>
    </row>
    <row r="4063" spans="1:1" x14ac:dyDescent="0.25">
      <c r="A4063" t="s">
        <v>427</v>
      </c>
    </row>
    <row r="4064" spans="1:1" x14ac:dyDescent="0.25">
      <c r="A4064" t="s">
        <v>1117</v>
      </c>
    </row>
    <row r="4065" spans="1:1" x14ac:dyDescent="0.25">
      <c r="A4065">
        <v>3005</v>
      </c>
    </row>
    <row r="4066" spans="1:1" x14ac:dyDescent="0.25">
      <c r="A4066">
        <v>243</v>
      </c>
    </row>
    <row r="4067" spans="1:1" x14ac:dyDescent="0.25">
      <c r="A4067">
        <v>171</v>
      </c>
    </row>
    <row r="4068" spans="1:1" x14ac:dyDescent="0.25">
      <c r="A4068">
        <v>172</v>
      </c>
    </row>
    <row r="4069" spans="1:1" x14ac:dyDescent="0.25">
      <c r="A4069">
        <v>4</v>
      </c>
    </row>
    <row r="4070" spans="1:1" x14ac:dyDescent="0.25">
      <c r="A4070">
        <v>462</v>
      </c>
    </row>
    <row r="4071" spans="1:1" x14ac:dyDescent="0.25">
      <c r="A4071" t="s">
        <v>1386</v>
      </c>
    </row>
    <row r="4072" spans="1:1" x14ac:dyDescent="0.25">
      <c r="A4072" t="s">
        <v>428</v>
      </c>
    </row>
    <row r="4073" spans="1:1" x14ac:dyDescent="0.25">
      <c r="A4073" t="s">
        <v>939</v>
      </c>
    </row>
    <row r="4074" spans="1:1" x14ac:dyDescent="0.25">
      <c r="A4074">
        <v>3205</v>
      </c>
    </row>
    <row r="4075" spans="1:1" x14ac:dyDescent="0.25">
      <c r="A4075">
        <v>238</v>
      </c>
    </row>
    <row r="4076" spans="1:1" x14ac:dyDescent="0.25">
      <c r="A4076">
        <v>205</v>
      </c>
    </row>
    <row r="4077" spans="1:1" x14ac:dyDescent="0.25">
      <c r="A4077">
        <v>172</v>
      </c>
    </row>
    <row r="4078" spans="1:1" x14ac:dyDescent="0.25">
      <c r="A4078">
        <v>4</v>
      </c>
    </row>
    <row r="4079" spans="1:1" x14ac:dyDescent="0.25">
      <c r="A4079">
        <v>463</v>
      </c>
    </row>
    <row r="4080" spans="1:1" x14ac:dyDescent="0.25">
      <c r="A4080" t="s">
        <v>1387</v>
      </c>
    </row>
    <row r="4081" spans="1:1" x14ac:dyDescent="0.25">
      <c r="A4081" t="s">
        <v>701</v>
      </c>
    </row>
    <row r="4082" spans="1:1" x14ac:dyDescent="0.25">
      <c r="A4082" t="s">
        <v>826</v>
      </c>
    </row>
    <row r="4083" spans="1:1" x14ac:dyDescent="0.25">
      <c r="A4083">
        <v>2467</v>
      </c>
    </row>
    <row r="4084" spans="1:1" x14ac:dyDescent="0.25">
      <c r="A4084">
        <v>161</v>
      </c>
    </row>
    <row r="4085" spans="1:1" x14ac:dyDescent="0.25">
      <c r="A4085">
        <v>181</v>
      </c>
    </row>
    <row r="4086" spans="1:1" x14ac:dyDescent="0.25">
      <c r="A4086">
        <v>242</v>
      </c>
    </row>
    <row r="4087" spans="1:1" x14ac:dyDescent="0.25">
      <c r="A4087">
        <v>4</v>
      </c>
    </row>
    <row r="4088" spans="1:1" x14ac:dyDescent="0.25">
      <c r="A4088">
        <v>464</v>
      </c>
    </row>
    <row r="4089" spans="1:1" x14ac:dyDescent="0.25">
      <c r="A4089" t="s">
        <v>1388</v>
      </c>
    </row>
    <row r="4090" spans="1:1" x14ac:dyDescent="0.25">
      <c r="A4090" t="s">
        <v>429</v>
      </c>
    </row>
    <row r="4091" spans="1:1" x14ac:dyDescent="0.25">
      <c r="A4091" t="s">
        <v>984</v>
      </c>
    </row>
    <row r="4092" spans="1:1" x14ac:dyDescent="0.25">
      <c r="A4092">
        <v>3733</v>
      </c>
    </row>
    <row r="4093" spans="1:1" x14ac:dyDescent="0.25">
      <c r="A4093">
        <v>241</v>
      </c>
    </row>
    <row r="4094" spans="1:1" x14ac:dyDescent="0.25">
      <c r="A4094">
        <v>190</v>
      </c>
    </row>
    <row r="4095" spans="1:1" x14ac:dyDescent="0.25">
      <c r="A4095">
        <v>251</v>
      </c>
    </row>
    <row r="4096" spans="1:1" x14ac:dyDescent="0.25">
      <c r="A4096">
        <v>4</v>
      </c>
    </row>
    <row r="4097" spans="1:1" x14ac:dyDescent="0.25">
      <c r="A4097">
        <v>465</v>
      </c>
    </row>
    <row r="4098" spans="1:1" x14ac:dyDescent="0.25">
      <c r="A4098" t="s">
        <v>1389</v>
      </c>
    </row>
    <row r="4099" spans="1:1" x14ac:dyDescent="0.25">
      <c r="A4099" t="s">
        <v>430</v>
      </c>
    </row>
    <row r="4100" spans="1:1" x14ac:dyDescent="0.25">
      <c r="A4100" t="s">
        <v>988</v>
      </c>
    </row>
    <row r="4101" spans="1:1" x14ac:dyDescent="0.25">
      <c r="A4101">
        <v>3030</v>
      </c>
    </row>
    <row r="4102" spans="1:1" x14ac:dyDescent="0.25">
      <c r="A4102">
        <v>207</v>
      </c>
    </row>
    <row r="4103" spans="1:1" x14ac:dyDescent="0.25">
      <c r="A4103">
        <v>184</v>
      </c>
    </row>
    <row r="4104" spans="1:1" x14ac:dyDescent="0.25">
      <c r="A4104">
        <v>225</v>
      </c>
    </row>
    <row r="4105" spans="1:1" x14ac:dyDescent="0.25">
      <c r="A4105">
        <v>4</v>
      </c>
    </row>
    <row r="4106" spans="1:1" x14ac:dyDescent="0.25">
      <c r="A4106">
        <v>466</v>
      </c>
    </row>
    <row r="4107" spans="1:1" x14ac:dyDescent="0.25">
      <c r="A4107" t="s">
        <v>1390</v>
      </c>
    </row>
    <row r="4108" spans="1:1" x14ac:dyDescent="0.25">
      <c r="A4108" t="s">
        <v>590</v>
      </c>
    </row>
    <row r="4109" spans="1:1" x14ac:dyDescent="0.25">
      <c r="A4109" t="s">
        <v>839</v>
      </c>
    </row>
    <row r="4110" spans="1:1" x14ac:dyDescent="0.25">
      <c r="A4110">
        <v>3079</v>
      </c>
    </row>
    <row r="4111" spans="1:1" x14ac:dyDescent="0.25">
      <c r="A4111">
        <v>249</v>
      </c>
    </row>
    <row r="4112" spans="1:1" x14ac:dyDescent="0.25">
      <c r="A4112">
        <v>163</v>
      </c>
    </row>
    <row r="4113" spans="1:1" x14ac:dyDescent="0.25">
      <c r="A4113">
        <v>181</v>
      </c>
    </row>
    <row r="4114" spans="1:1" x14ac:dyDescent="0.25">
      <c r="A4114">
        <v>4</v>
      </c>
    </row>
    <row r="4115" spans="1:1" x14ac:dyDescent="0.25">
      <c r="A4115">
        <v>467</v>
      </c>
    </row>
    <row r="4116" spans="1:1" x14ac:dyDescent="0.25">
      <c r="A4116" t="s">
        <v>1391</v>
      </c>
    </row>
    <row r="4117" spans="1:1" x14ac:dyDescent="0.25">
      <c r="A4117" t="s">
        <v>591</v>
      </c>
    </row>
    <row r="4118" spans="1:1" x14ac:dyDescent="0.25">
      <c r="A4118" t="s">
        <v>804</v>
      </c>
    </row>
    <row r="4119" spans="1:1" x14ac:dyDescent="0.25">
      <c r="A4119">
        <v>3132</v>
      </c>
    </row>
    <row r="4120" spans="1:1" x14ac:dyDescent="0.25">
      <c r="A4120">
        <v>247</v>
      </c>
    </row>
    <row r="4121" spans="1:1" x14ac:dyDescent="0.25">
      <c r="A4121">
        <v>172</v>
      </c>
    </row>
    <row r="4122" spans="1:1" x14ac:dyDescent="0.25">
      <c r="A4122">
        <v>181</v>
      </c>
    </row>
    <row r="4123" spans="1:1" x14ac:dyDescent="0.25">
      <c r="A4123">
        <v>4</v>
      </c>
    </row>
    <row r="4124" spans="1:1" x14ac:dyDescent="0.25">
      <c r="A4124">
        <v>468</v>
      </c>
    </row>
    <row r="4125" spans="1:1" x14ac:dyDescent="0.25">
      <c r="A4125" t="s">
        <v>1392</v>
      </c>
    </row>
    <row r="4126" spans="1:1" x14ac:dyDescent="0.25">
      <c r="A4126" t="s">
        <v>431</v>
      </c>
    </row>
    <row r="4127" spans="1:1" x14ac:dyDescent="0.25">
      <c r="A4127" t="s">
        <v>1064</v>
      </c>
    </row>
    <row r="4128" spans="1:1" x14ac:dyDescent="0.25">
      <c r="A4128">
        <v>3332</v>
      </c>
    </row>
    <row r="4129" spans="1:1" x14ac:dyDescent="0.25">
      <c r="A4129">
        <v>225</v>
      </c>
    </row>
    <row r="4130" spans="1:1" x14ac:dyDescent="0.25">
      <c r="A4130">
        <v>217</v>
      </c>
    </row>
    <row r="4131" spans="1:1" x14ac:dyDescent="0.25">
      <c r="A4131">
        <v>198</v>
      </c>
    </row>
    <row r="4132" spans="1:1" x14ac:dyDescent="0.25">
      <c r="A4132">
        <v>4</v>
      </c>
    </row>
    <row r="4133" spans="1:1" x14ac:dyDescent="0.25">
      <c r="A4133">
        <v>469</v>
      </c>
    </row>
    <row r="4134" spans="1:1" x14ac:dyDescent="0.25">
      <c r="A4134" t="s">
        <v>1393</v>
      </c>
    </row>
    <row r="4135" spans="1:1" x14ac:dyDescent="0.25">
      <c r="A4135" t="s">
        <v>432</v>
      </c>
    </row>
    <row r="4136" spans="1:1" x14ac:dyDescent="0.25">
      <c r="A4136" t="s">
        <v>816</v>
      </c>
    </row>
    <row r="4137" spans="1:1" x14ac:dyDescent="0.25">
      <c r="A4137">
        <v>2946</v>
      </c>
    </row>
    <row r="4138" spans="1:1" x14ac:dyDescent="0.25">
      <c r="A4138">
        <v>231</v>
      </c>
    </row>
    <row r="4139" spans="1:1" x14ac:dyDescent="0.25">
      <c r="A4139">
        <v>156</v>
      </c>
    </row>
    <row r="4140" spans="1:1" x14ac:dyDescent="0.25">
      <c r="A4140">
        <v>200</v>
      </c>
    </row>
    <row r="4141" spans="1:1" x14ac:dyDescent="0.25">
      <c r="A4141">
        <v>4</v>
      </c>
    </row>
    <row r="4142" spans="1:1" x14ac:dyDescent="0.25">
      <c r="A4142">
        <v>470</v>
      </c>
    </row>
    <row r="4143" spans="1:1" x14ac:dyDescent="0.25">
      <c r="A4143" t="s">
        <v>1394</v>
      </c>
    </row>
    <row r="4144" spans="1:1" x14ac:dyDescent="0.25">
      <c r="A4144" t="s">
        <v>592</v>
      </c>
    </row>
    <row r="4145" spans="1:1" x14ac:dyDescent="0.25">
      <c r="A4145" t="s">
        <v>988</v>
      </c>
    </row>
    <row r="4146" spans="1:1" x14ac:dyDescent="0.25">
      <c r="A4146">
        <v>2944</v>
      </c>
    </row>
    <row r="4147" spans="1:1" x14ac:dyDescent="0.25">
      <c r="A4147">
        <v>216</v>
      </c>
    </row>
    <row r="4148" spans="1:1" x14ac:dyDescent="0.25">
      <c r="A4148">
        <v>219</v>
      </c>
    </row>
    <row r="4149" spans="1:1" x14ac:dyDescent="0.25">
      <c r="A4149">
        <v>163</v>
      </c>
    </row>
    <row r="4150" spans="1:1" x14ac:dyDescent="0.25">
      <c r="A4150">
        <v>4</v>
      </c>
    </row>
    <row r="4151" spans="1:1" x14ac:dyDescent="0.25">
      <c r="A4151">
        <v>471</v>
      </c>
    </row>
    <row r="4152" spans="1:1" x14ac:dyDescent="0.25">
      <c r="A4152" t="s">
        <v>1395</v>
      </c>
    </row>
    <row r="4153" spans="1:1" x14ac:dyDescent="0.25">
      <c r="A4153" t="s">
        <v>593</v>
      </c>
    </row>
    <row r="4154" spans="1:1" x14ac:dyDescent="0.25">
      <c r="A4154" t="s">
        <v>865</v>
      </c>
    </row>
    <row r="4155" spans="1:1" x14ac:dyDescent="0.25">
      <c r="A4155">
        <v>3126</v>
      </c>
    </row>
    <row r="4156" spans="1:1" x14ac:dyDescent="0.25">
      <c r="A4156">
        <v>238</v>
      </c>
    </row>
    <row r="4157" spans="1:1" x14ac:dyDescent="0.25">
      <c r="A4157">
        <v>205</v>
      </c>
    </row>
    <row r="4158" spans="1:1" x14ac:dyDescent="0.25">
      <c r="A4158">
        <v>163</v>
      </c>
    </row>
    <row r="4159" spans="1:1" x14ac:dyDescent="0.25">
      <c r="A4159">
        <v>4</v>
      </c>
    </row>
    <row r="4160" spans="1:1" x14ac:dyDescent="0.25">
      <c r="A4160">
        <v>472</v>
      </c>
    </row>
    <row r="4161" spans="1:1" x14ac:dyDescent="0.25">
      <c r="A4161" t="s">
        <v>1396</v>
      </c>
    </row>
    <row r="4162" spans="1:1" x14ac:dyDescent="0.25">
      <c r="A4162" t="s">
        <v>594</v>
      </c>
    </row>
    <row r="4163" spans="1:1" x14ac:dyDescent="0.25">
      <c r="A4163" t="s">
        <v>1105</v>
      </c>
    </row>
    <row r="4164" spans="1:1" x14ac:dyDescent="0.25">
      <c r="A4164">
        <v>2692</v>
      </c>
    </row>
    <row r="4165" spans="1:1" x14ac:dyDescent="0.25">
      <c r="A4165">
        <v>185</v>
      </c>
    </row>
    <row r="4166" spans="1:1" x14ac:dyDescent="0.25">
      <c r="A4166">
        <v>222</v>
      </c>
    </row>
    <row r="4167" spans="1:1" x14ac:dyDescent="0.25">
      <c r="A4167">
        <v>181</v>
      </c>
    </row>
    <row r="4168" spans="1:1" x14ac:dyDescent="0.25">
      <c r="A4168">
        <v>4</v>
      </c>
    </row>
    <row r="4169" spans="1:1" x14ac:dyDescent="0.25">
      <c r="A4169">
        <v>473</v>
      </c>
    </row>
    <row r="4170" spans="1:1" x14ac:dyDescent="0.25">
      <c r="A4170" t="s">
        <v>1397</v>
      </c>
    </row>
    <row r="4171" spans="1:1" x14ac:dyDescent="0.25">
      <c r="A4171" t="s">
        <v>433</v>
      </c>
    </row>
    <row r="4172" spans="1:1" x14ac:dyDescent="0.25">
      <c r="A4172" t="s">
        <v>1124</v>
      </c>
    </row>
    <row r="4173" spans="1:1" x14ac:dyDescent="0.25">
      <c r="A4173">
        <v>3328</v>
      </c>
    </row>
    <row r="4174" spans="1:1" x14ac:dyDescent="0.25">
      <c r="A4174">
        <v>247</v>
      </c>
    </row>
    <row r="4175" spans="1:1" x14ac:dyDescent="0.25">
      <c r="A4175">
        <v>146</v>
      </c>
    </row>
    <row r="4176" spans="1:1" x14ac:dyDescent="0.25">
      <c r="A4176">
        <v>242</v>
      </c>
    </row>
    <row r="4177" spans="1:1" x14ac:dyDescent="0.25">
      <c r="A4177">
        <v>4</v>
      </c>
    </row>
    <row r="4178" spans="1:1" x14ac:dyDescent="0.25">
      <c r="A4178">
        <v>474</v>
      </c>
    </row>
    <row r="4179" spans="1:1" x14ac:dyDescent="0.25">
      <c r="A4179" t="s">
        <v>1398</v>
      </c>
    </row>
    <row r="4180" spans="1:1" x14ac:dyDescent="0.25">
      <c r="A4180" t="s">
        <v>434</v>
      </c>
    </row>
    <row r="4181" spans="1:1" x14ac:dyDescent="0.25">
      <c r="A4181" t="s">
        <v>826</v>
      </c>
    </row>
    <row r="4182" spans="1:1" x14ac:dyDescent="0.25">
      <c r="A4182">
        <v>3266</v>
      </c>
    </row>
    <row r="4183" spans="1:1" x14ac:dyDescent="0.25">
      <c r="A4183">
        <v>264</v>
      </c>
    </row>
    <row r="4184" spans="1:1" x14ac:dyDescent="0.25">
      <c r="A4184">
        <v>150</v>
      </c>
    </row>
    <row r="4185" spans="1:1" x14ac:dyDescent="0.25">
      <c r="A4185">
        <v>198</v>
      </c>
    </row>
    <row r="4186" spans="1:1" x14ac:dyDescent="0.25">
      <c r="A4186">
        <v>4</v>
      </c>
    </row>
    <row r="4187" spans="1:1" x14ac:dyDescent="0.25">
      <c r="A4187">
        <v>475</v>
      </c>
    </row>
    <row r="4188" spans="1:1" x14ac:dyDescent="0.25">
      <c r="A4188" t="s">
        <v>1399</v>
      </c>
    </row>
    <row r="4189" spans="1:1" x14ac:dyDescent="0.25">
      <c r="A4189" t="s">
        <v>595</v>
      </c>
    </row>
    <row r="4190" spans="1:1" x14ac:dyDescent="0.25">
      <c r="A4190" t="s">
        <v>1400</v>
      </c>
    </row>
    <row r="4191" spans="1:1" x14ac:dyDescent="0.25">
      <c r="A4191">
        <v>3093</v>
      </c>
    </row>
    <row r="4192" spans="1:1" x14ac:dyDescent="0.25">
      <c r="A4192">
        <v>237</v>
      </c>
    </row>
    <row r="4193" spans="1:1" x14ac:dyDescent="0.25">
      <c r="A4193">
        <v>195</v>
      </c>
    </row>
    <row r="4194" spans="1:1" x14ac:dyDescent="0.25">
      <c r="A4194">
        <v>169</v>
      </c>
    </row>
    <row r="4195" spans="1:1" x14ac:dyDescent="0.25">
      <c r="A4195">
        <v>4</v>
      </c>
    </row>
    <row r="4196" spans="1:1" x14ac:dyDescent="0.25">
      <c r="A4196">
        <v>476</v>
      </c>
    </row>
    <row r="4197" spans="1:1" x14ac:dyDescent="0.25">
      <c r="A4197" t="s">
        <v>1401</v>
      </c>
    </row>
    <row r="4198" spans="1:1" x14ac:dyDescent="0.25">
      <c r="A4198" t="s">
        <v>435</v>
      </c>
    </row>
    <row r="4199" spans="1:1" x14ac:dyDescent="0.25">
      <c r="A4199" t="s">
        <v>1307</v>
      </c>
    </row>
    <row r="4200" spans="1:1" x14ac:dyDescent="0.25">
      <c r="A4200">
        <v>2080</v>
      </c>
    </row>
    <row r="4201" spans="1:1" x14ac:dyDescent="0.25">
      <c r="A4201">
        <v>135</v>
      </c>
    </row>
    <row r="4202" spans="1:1" x14ac:dyDescent="0.25">
      <c r="A4202">
        <v>275</v>
      </c>
    </row>
    <row r="4203" spans="1:1" x14ac:dyDescent="0.25">
      <c r="A4203">
        <v>155</v>
      </c>
    </row>
    <row r="4204" spans="1:1" x14ac:dyDescent="0.25">
      <c r="A4204">
        <v>4</v>
      </c>
    </row>
    <row r="4205" spans="1:1" x14ac:dyDescent="0.25">
      <c r="A4205">
        <v>477</v>
      </c>
    </row>
    <row r="4206" spans="1:1" x14ac:dyDescent="0.25">
      <c r="A4206" t="s">
        <v>1402</v>
      </c>
    </row>
    <row r="4207" spans="1:1" x14ac:dyDescent="0.25">
      <c r="A4207" t="s">
        <v>436</v>
      </c>
    </row>
    <row r="4208" spans="1:1" x14ac:dyDescent="0.25">
      <c r="A4208" t="s">
        <v>1095</v>
      </c>
    </row>
    <row r="4209" spans="1:1" x14ac:dyDescent="0.25">
      <c r="A4209">
        <v>2388</v>
      </c>
    </row>
    <row r="4210" spans="1:1" x14ac:dyDescent="0.25">
      <c r="A4210">
        <v>180</v>
      </c>
    </row>
    <row r="4211" spans="1:1" x14ac:dyDescent="0.25">
      <c r="A4211">
        <v>254</v>
      </c>
    </row>
    <row r="4212" spans="1:1" x14ac:dyDescent="0.25">
      <c r="A4212">
        <v>128</v>
      </c>
    </row>
    <row r="4213" spans="1:1" x14ac:dyDescent="0.25">
      <c r="A4213">
        <v>4</v>
      </c>
    </row>
    <row r="4214" spans="1:1" x14ac:dyDescent="0.25">
      <c r="A4214">
        <v>478</v>
      </c>
    </row>
    <row r="4215" spans="1:1" x14ac:dyDescent="0.25">
      <c r="A4215" t="s">
        <v>1403</v>
      </c>
    </row>
    <row r="4216" spans="1:1" x14ac:dyDescent="0.25">
      <c r="A4216" t="s">
        <v>437</v>
      </c>
    </row>
    <row r="4217" spans="1:1" x14ac:dyDescent="0.25">
      <c r="A4217" t="s">
        <v>1404</v>
      </c>
    </row>
    <row r="4218" spans="1:1" x14ac:dyDescent="0.25">
      <c r="A4218">
        <v>2040</v>
      </c>
    </row>
    <row r="4219" spans="1:1" x14ac:dyDescent="0.25">
      <c r="A4219">
        <v>171</v>
      </c>
    </row>
    <row r="4220" spans="1:1" x14ac:dyDescent="0.25">
      <c r="A4220">
        <v>150</v>
      </c>
    </row>
    <row r="4221" spans="1:1" x14ac:dyDescent="0.25">
      <c r="A4221">
        <v>172</v>
      </c>
    </row>
    <row r="4222" spans="1:1" x14ac:dyDescent="0.25">
      <c r="A4222">
        <v>4</v>
      </c>
    </row>
    <row r="4223" spans="1:1" x14ac:dyDescent="0.25">
      <c r="A4223">
        <v>479</v>
      </c>
    </row>
    <row r="4224" spans="1:1" x14ac:dyDescent="0.25">
      <c r="A4224" t="s">
        <v>1405</v>
      </c>
    </row>
    <row r="4225" spans="1:1" x14ac:dyDescent="0.25">
      <c r="A4225" t="s">
        <v>724</v>
      </c>
    </row>
    <row r="4226" spans="1:1" x14ac:dyDescent="0.25">
      <c r="A4226" t="s">
        <v>1406</v>
      </c>
    </row>
    <row r="4227" spans="1:1" x14ac:dyDescent="0.25">
      <c r="A4227">
        <v>2031</v>
      </c>
    </row>
    <row r="4228" spans="1:1" x14ac:dyDescent="0.25">
      <c r="A4228">
        <v>185</v>
      </c>
    </row>
    <row r="4229" spans="1:1" x14ac:dyDescent="0.25">
      <c r="A4229">
        <v>159</v>
      </c>
    </row>
    <row r="4230" spans="1:1" x14ac:dyDescent="0.25">
      <c r="A4230">
        <v>137</v>
      </c>
    </row>
    <row r="4231" spans="1:1" x14ac:dyDescent="0.25">
      <c r="A4231">
        <v>4</v>
      </c>
    </row>
    <row r="4232" spans="1:1" x14ac:dyDescent="0.25">
      <c r="A4232">
        <v>479</v>
      </c>
    </row>
    <row r="4233" spans="1:1" x14ac:dyDescent="0.25">
      <c r="A4233" t="s">
        <v>1434</v>
      </c>
    </row>
    <row r="4234" spans="1:1" x14ac:dyDescent="0.25">
      <c r="A4234" t="s">
        <v>1407</v>
      </c>
    </row>
    <row r="4235" spans="1:1" x14ac:dyDescent="0.25">
      <c r="A4235" t="s">
        <v>1027</v>
      </c>
    </row>
    <row r="4236" spans="1:1" x14ac:dyDescent="0.25">
      <c r="A4236">
        <v>2579</v>
      </c>
    </row>
    <row r="4237" spans="1:1" x14ac:dyDescent="0.25">
      <c r="A4237">
        <v>204</v>
      </c>
    </row>
    <row r="4238" spans="1:1" x14ac:dyDescent="0.25">
      <c r="A4238">
        <v>219</v>
      </c>
    </row>
    <row r="4239" spans="1:1" x14ac:dyDescent="0.25">
      <c r="A4239">
        <v>137</v>
      </c>
    </row>
    <row r="4240" spans="1:1" x14ac:dyDescent="0.25">
      <c r="A4240">
        <v>4</v>
      </c>
    </row>
    <row r="4241" spans="1:1" x14ac:dyDescent="0.25">
      <c r="A4241">
        <v>479</v>
      </c>
    </row>
    <row r="4242" spans="1:1" x14ac:dyDescent="0.25">
      <c r="A4242" t="s">
        <v>1435</v>
      </c>
    </row>
    <row r="4243" spans="1:1" x14ac:dyDescent="0.25">
      <c r="A4243" t="s">
        <v>1408</v>
      </c>
    </row>
    <row r="4244" spans="1:1" x14ac:dyDescent="0.25">
      <c r="A4244" t="s">
        <v>1436</v>
      </c>
    </row>
    <row r="4245" spans="1:1" x14ac:dyDescent="0.25">
      <c r="A4245">
        <v>2579</v>
      </c>
    </row>
    <row r="4246" spans="1:1" x14ac:dyDescent="0.25">
      <c r="A4246">
        <v>204</v>
      </c>
    </row>
    <row r="4247" spans="1:1" x14ac:dyDescent="0.25">
      <c r="A4247">
        <v>219</v>
      </c>
    </row>
    <row r="4248" spans="1:1" x14ac:dyDescent="0.25">
      <c r="A4248">
        <v>137</v>
      </c>
    </row>
    <row r="4249" spans="1:1" x14ac:dyDescent="0.25">
      <c r="A4249">
        <v>4</v>
      </c>
    </row>
    <row r="4250" spans="1:1" x14ac:dyDescent="0.25">
      <c r="A4250">
        <v>479</v>
      </c>
    </row>
    <row r="4251" spans="1:1" x14ac:dyDescent="0.25">
      <c r="A4251" t="s">
        <v>1437</v>
      </c>
    </row>
    <row r="4252" spans="1:1" x14ac:dyDescent="0.25">
      <c r="A4252" t="s">
        <v>1409</v>
      </c>
    </row>
    <row r="4253" spans="1:1" x14ac:dyDescent="0.25">
      <c r="A4253" t="s">
        <v>1438</v>
      </c>
    </row>
    <row r="4254" spans="1:1" x14ac:dyDescent="0.25">
      <c r="A4254">
        <v>2579</v>
      </c>
    </row>
    <row r="4255" spans="1:1" x14ac:dyDescent="0.25">
      <c r="A4255">
        <v>204</v>
      </c>
    </row>
    <row r="4256" spans="1:1" x14ac:dyDescent="0.25">
      <c r="A4256">
        <v>219</v>
      </c>
    </row>
    <row r="4257" spans="1:1" x14ac:dyDescent="0.25">
      <c r="A4257">
        <v>137</v>
      </c>
    </row>
    <row r="4258" spans="1:1" x14ac:dyDescent="0.25">
      <c r="A4258">
        <v>4</v>
      </c>
    </row>
    <row r="4259" spans="1:1" x14ac:dyDescent="0.25">
      <c r="A4259">
        <v>479</v>
      </c>
    </row>
    <row r="4260" spans="1:1" x14ac:dyDescent="0.25">
      <c r="A4260" t="s">
        <v>1439</v>
      </c>
    </row>
    <row r="4261" spans="1:1" x14ac:dyDescent="0.25">
      <c r="A4261" t="s">
        <v>1410</v>
      </c>
    </row>
    <row r="4262" spans="1:1" x14ac:dyDescent="0.25">
      <c r="A4262" t="s">
        <v>1440</v>
      </c>
    </row>
    <row r="4263" spans="1:1" x14ac:dyDescent="0.25">
      <c r="A4263">
        <v>2579</v>
      </c>
    </row>
    <row r="4264" spans="1:1" x14ac:dyDescent="0.25">
      <c r="A4264">
        <v>204</v>
      </c>
    </row>
    <row r="4265" spans="1:1" x14ac:dyDescent="0.25">
      <c r="A4265">
        <v>219</v>
      </c>
    </row>
    <row r="4266" spans="1:1" x14ac:dyDescent="0.25">
      <c r="A4266">
        <v>137</v>
      </c>
    </row>
    <row r="4267" spans="1:1" x14ac:dyDescent="0.25">
      <c r="A4267">
        <v>4</v>
      </c>
    </row>
    <row r="4268" spans="1:1" x14ac:dyDescent="0.25">
      <c r="A4268">
        <v>479</v>
      </c>
    </row>
    <row r="4269" spans="1:1" x14ac:dyDescent="0.25">
      <c r="A4269" t="s">
        <v>1441</v>
      </c>
    </row>
    <row r="4270" spans="1:1" x14ac:dyDescent="0.25">
      <c r="A4270" t="s">
        <v>1411</v>
      </c>
    </row>
    <row r="4271" spans="1:1" x14ac:dyDescent="0.25">
      <c r="A4271" t="s">
        <v>1442</v>
      </c>
    </row>
    <row r="4272" spans="1:1" x14ac:dyDescent="0.25">
      <c r="A4272">
        <v>2579</v>
      </c>
    </row>
    <row r="4273" spans="1:1" x14ac:dyDescent="0.25">
      <c r="A4273">
        <v>204</v>
      </c>
    </row>
    <row r="4274" spans="1:1" x14ac:dyDescent="0.25">
      <c r="A4274">
        <v>219</v>
      </c>
    </row>
    <row r="4275" spans="1:1" x14ac:dyDescent="0.25">
      <c r="A4275">
        <v>137</v>
      </c>
    </row>
    <row r="4276" spans="1:1" x14ac:dyDescent="0.25">
      <c r="A4276">
        <v>4</v>
      </c>
    </row>
    <row r="4277" spans="1:1" x14ac:dyDescent="0.25">
      <c r="A4277">
        <v>480</v>
      </c>
    </row>
    <row r="4278" spans="1:1" x14ac:dyDescent="0.25">
      <c r="A4278" t="s">
        <v>1443</v>
      </c>
    </row>
    <row r="4279" spans="1:1" x14ac:dyDescent="0.25">
      <c r="A4279" t="s">
        <v>740</v>
      </c>
    </row>
    <row r="4280" spans="1:1" x14ac:dyDescent="0.25">
      <c r="A4280" t="s">
        <v>910</v>
      </c>
    </row>
    <row r="4281" spans="1:1" x14ac:dyDescent="0.25">
      <c r="A4281">
        <v>2524</v>
      </c>
    </row>
    <row r="4282" spans="1:1" x14ac:dyDescent="0.25">
      <c r="A4282">
        <v>156</v>
      </c>
    </row>
    <row r="4283" spans="1:1" x14ac:dyDescent="0.25">
      <c r="A4283">
        <v>270</v>
      </c>
    </row>
    <row r="4284" spans="1:1" x14ac:dyDescent="0.25">
      <c r="A4284">
        <v>181</v>
      </c>
    </row>
    <row r="4285" spans="1:1" x14ac:dyDescent="0.25">
      <c r="A4285">
        <v>4</v>
      </c>
    </row>
    <row r="4286" spans="1:1" x14ac:dyDescent="0.25">
      <c r="A4286">
        <v>481</v>
      </c>
    </row>
    <row r="4287" spans="1:1" x14ac:dyDescent="0.25">
      <c r="A4287" t="s">
        <v>1444</v>
      </c>
    </row>
    <row r="4288" spans="1:1" x14ac:dyDescent="0.25">
      <c r="A4288" t="s">
        <v>741</v>
      </c>
    </row>
    <row r="4289" spans="1:1" x14ac:dyDescent="0.25">
      <c r="A4289" t="s">
        <v>910</v>
      </c>
    </row>
    <row r="4290" spans="1:1" x14ac:dyDescent="0.25">
      <c r="A4290">
        <v>3058</v>
      </c>
    </row>
    <row r="4291" spans="1:1" x14ac:dyDescent="0.25">
      <c r="A4291">
        <v>212</v>
      </c>
    </row>
    <row r="4292" spans="1:1" x14ac:dyDescent="0.25">
      <c r="A4292">
        <v>212</v>
      </c>
    </row>
    <row r="4293" spans="1:1" x14ac:dyDescent="0.25">
      <c r="A4293">
        <v>190</v>
      </c>
    </row>
    <row r="4294" spans="1:1" x14ac:dyDescent="0.25">
      <c r="A4294">
        <v>4</v>
      </c>
    </row>
    <row r="4295" spans="1:1" x14ac:dyDescent="0.25">
      <c r="A4295">
        <v>482</v>
      </c>
    </row>
    <row r="4296" spans="1:1" x14ac:dyDescent="0.25">
      <c r="A4296" t="s">
        <v>1445</v>
      </c>
    </row>
    <row r="4297" spans="1:1" x14ac:dyDescent="0.25">
      <c r="A4297" t="s">
        <v>742</v>
      </c>
    </row>
    <row r="4298" spans="1:1" x14ac:dyDescent="0.25">
      <c r="A4298" t="s">
        <v>910</v>
      </c>
    </row>
    <row r="4299" spans="1:1" x14ac:dyDescent="0.25">
      <c r="A4299">
        <v>3210</v>
      </c>
    </row>
    <row r="4300" spans="1:1" x14ac:dyDescent="0.25">
      <c r="A4300">
        <v>270</v>
      </c>
    </row>
    <row r="4301" spans="1:1" x14ac:dyDescent="0.25">
      <c r="A4301">
        <v>151</v>
      </c>
    </row>
    <row r="4302" spans="1:1" x14ac:dyDescent="0.25">
      <c r="A4302">
        <v>181</v>
      </c>
    </row>
    <row r="4303" spans="1:1" x14ac:dyDescent="0.25">
      <c r="A4303">
        <v>4</v>
      </c>
    </row>
    <row r="4304" spans="1:1" x14ac:dyDescent="0.25">
      <c r="A4304">
        <v>483</v>
      </c>
    </row>
    <row r="4305" spans="1:1" x14ac:dyDescent="0.25">
      <c r="A4305" t="s">
        <v>1446</v>
      </c>
    </row>
    <row r="4306" spans="1:1" x14ac:dyDescent="0.25">
      <c r="A4306" t="s">
        <v>743</v>
      </c>
    </row>
    <row r="4307" spans="1:1" x14ac:dyDescent="0.25">
      <c r="A4307" t="s">
        <v>1447</v>
      </c>
    </row>
    <row r="4308" spans="1:1" x14ac:dyDescent="0.25">
      <c r="A4308">
        <v>4038</v>
      </c>
    </row>
    <row r="4309" spans="1:1" x14ac:dyDescent="0.25">
      <c r="A4309">
        <v>275</v>
      </c>
    </row>
    <row r="4310" spans="1:1" x14ac:dyDescent="0.25">
      <c r="A4310">
        <v>211</v>
      </c>
    </row>
    <row r="4311" spans="1:1" x14ac:dyDescent="0.25">
      <c r="A4311">
        <v>205</v>
      </c>
    </row>
    <row r="4312" spans="1:1" x14ac:dyDescent="0.25">
      <c r="A4312">
        <v>4</v>
      </c>
    </row>
    <row r="4313" spans="1:1" x14ac:dyDescent="0.25">
      <c r="A4313">
        <v>484</v>
      </c>
    </row>
    <row r="4314" spans="1:1" x14ac:dyDescent="0.25">
      <c r="A4314" t="s">
        <v>1448</v>
      </c>
    </row>
    <row r="4315" spans="1:1" x14ac:dyDescent="0.25">
      <c r="A4315" t="s">
        <v>744</v>
      </c>
    </row>
    <row r="4316" spans="1:1" x14ac:dyDescent="0.25">
      <c r="A4316" t="s">
        <v>1138</v>
      </c>
    </row>
    <row r="4317" spans="1:1" x14ac:dyDescent="0.25">
      <c r="A4317">
        <v>3991</v>
      </c>
    </row>
    <row r="4318" spans="1:1" x14ac:dyDescent="0.25">
      <c r="A4318">
        <v>280</v>
      </c>
    </row>
    <row r="4319" spans="1:1" x14ac:dyDescent="0.25">
      <c r="A4319">
        <v>215</v>
      </c>
    </row>
    <row r="4320" spans="1:1" x14ac:dyDescent="0.25">
      <c r="A4320">
        <v>189</v>
      </c>
    </row>
    <row r="4321" spans="1:1" x14ac:dyDescent="0.25">
      <c r="A4321">
        <v>4</v>
      </c>
    </row>
    <row r="4322" spans="1:1" x14ac:dyDescent="0.25">
      <c r="A4322">
        <v>485</v>
      </c>
    </row>
    <row r="4323" spans="1:1" x14ac:dyDescent="0.25">
      <c r="A4323" t="s">
        <v>1449</v>
      </c>
    </row>
    <row r="4324" spans="1:1" x14ac:dyDescent="0.25">
      <c r="A4324" t="s">
        <v>745</v>
      </c>
    </row>
    <row r="4325" spans="1:1" x14ac:dyDescent="0.25">
      <c r="A4325" t="s">
        <v>1450</v>
      </c>
    </row>
    <row r="4326" spans="1:1" x14ac:dyDescent="0.25">
      <c r="A4326">
        <v>3754</v>
      </c>
    </row>
    <row r="4327" spans="1:1" x14ac:dyDescent="0.25">
      <c r="A4327">
        <v>251</v>
      </c>
    </row>
    <row r="4328" spans="1:1" x14ac:dyDescent="0.25">
      <c r="A4328">
        <v>213</v>
      </c>
    </row>
    <row r="4329" spans="1:1" x14ac:dyDescent="0.25">
      <c r="A4329">
        <v>209</v>
      </c>
    </row>
    <row r="4330" spans="1:1" x14ac:dyDescent="0.25">
      <c r="A4330">
        <v>4</v>
      </c>
    </row>
    <row r="4331" spans="1:1" x14ac:dyDescent="0.25">
      <c r="A4331">
        <v>486</v>
      </c>
    </row>
    <row r="4332" spans="1:1" x14ac:dyDescent="0.25">
      <c r="A4332" t="s">
        <v>1451</v>
      </c>
    </row>
    <row r="4333" spans="1:1" x14ac:dyDescent="0.25">
      <c r="A4333" t="s">
        <v>746</v>
      </c>
    </row>
    <row r="4334" spans="1:1" x14ac:dyDescent="0.25">
      <c r="A4334" t="s">
        <v>826</v>
      </c>
    </row>
    <row r="4335" spans="1:1" x14ac:dyDescent="0.25">
      <c r="A4335">
        <v>4346</v>
      </c>
    </row>
    <row r="4336" spans="1:1" x14ac:dyDescent="0.25">
      <c r="A4336">
        <v>287</v>
      </c>
    </row>
    <row r="4337" spans="1:1" x14ac:dyDescent="0.25">
      <c r="A4337">
        <v>210</v>
      </c>
    </row>
    <row r="4338" spans="1:1" x14ac:dyDescent="0.25">
      <c r="A4338">
        <v>221</v>
      </c>
    </row>
    <row r="4339" spans="1:1" x14ac:dyDescent="0.25">
      <c r="A4339">
        <v>4</v>
      </c>
    </row>
    <row r="4340" spans="1:1" x14ac:dyDescent="0.25">
      <c r="A4340">
        <v>487</v>
      </c>
    </row>
    <row r="4341" spans="1:1" x14ac:dyDescent="0.25">
      <c r="A4341" t="s">
        <v>1452</v>
      </c>
    </row>
    <row r="4342" spans="1:1" x14ac:dyDescent="0.25">
      <c r="A4342" t="s">
        <v>1412</v>
      </c>
    </row>
    <row r="4343" spans="1:1" x14ac:dyDescent="0.25">
      <c r="A4343" t="s">
        <v>1453</v>
      </c>
    </row>
    <row r="4344" spans="1:1" x14ac:dyDescent="0.25">
      <c r="A4344">
        <v>3379</v>
      </c>
    </row>
    <row r="4345" spans="1:1" x14ac:dyDescent="0.25">
      <c r="A4345">
        <v>187</v>
      </c>
    </row>
    <row r="4346" spans="1:1" x14ac:dyDescent="0.25">
      <c r="A4346">
        <v>225</v>
      </c>
    </row>
    <row r="4347" spans="1:1" x14ac:dyDescent="0.25">
      <c r="A4347">
        <v>284</v>
      </c>
    </row>
    <row r="4348" spans="1:1" x14ac:dyDescent="0.25">
      <c r="A4348">
        <v>4</v>
      </c>
    </row>
    <row r="4349" spans="1:1" x14ac:dyDescent="0.25">
      <c r="A4349">
        <v>487</v>
      </c>
    </row>
    <row r="4350" spans="1:1" x14ac:dyDescent="0.25">
      <c r="A4350" t="s">
        <v>1454</v>
      </c>
    </row>
    <row r="4351" spans="1:1" x14ac:dyDescent="0.25">
      <c r="A4351" t="s">
        <v>1413</v>
      </c>
    </row>
    <row r="4352" spans="1:1" x14ac:dyDescent="0.25">
      <c r="A4352" t="s">
        <v>1453</v>
      </c>
    </row>
    <row r="4353" spans="1:1" x14ac:dyDescent="0.25">
      <c r="A4353">
        <v>3683</v>
      </c>
    </row>
    <row r="4354" spans="1:1" x14ac:dyDescent="0.25">
      <c r="A4354">
        <v>225</v>
      </c>
    </row>
    <row r="4355" spans="1:1" x14ac:dyDescent="0.25">
      <c r="A4355">
        <v>187</v>
      </c>
    </row>
    <row r="4356" spans="1:1" x14ac:dyDescent="0.25">
      <c r="A4356">
        <v>284</v>
      </c>
    </row>
    <row r="4357" spans="1:1" x14ac:dyDescent="0.25">
      <c r="A4357">
        <v>4</v>
      </c>
    </row>
    <row r="4358" spans="1:1" x14ac:dyDescent="0.25">
      <c r="A4358">
        <v>488</v>
      </c>
    </row>
    <row r="4359" spans="1:1" x14ac:dyDescent="0.25">
      <c r="A4359" t="s">
        <v>1455</v>
      </c>
    </row>
    <row r="4360" spans="1:1" x14ac:dyDescent="0.25">
      <c r="A4360" t="s">
        <v>748</v>
      </c>
    </row>
    <row r="4361" spans="1:1" x14ac:dyDescent="0.25">
      <c r="A4361" t="s">
        <v>910</v>
      </c>
    </row>
    <row r="4362" spans="1:1" x14ac:dyDescent="0.25">
      <c r="A4362">
        <v>2857</v>
      </c>
    </row>
    <row r="4363" spans="1:1" x14ac:dyDescent="0.25">
      <c r="A4363">
        <v>152</v>
      </c>
    </row>
    <row r="4364" spans="1:1" x14ac:dyDescent="0.25">
      <c r="A4364">
        <v>258</v>
      </c>
    </row>
    <row r="4365" spans="1:1" x14ac:dyDescent="0.25">
      <c r="A4365">
        <v>260</v>
      </c>
    </row>
    <row r="4366" spans="1:1" x14ac:dyDescent="0.25">
      <c r="A4366">
        <v>4</v>
      </c>
    </row>
    <row r="4367" spans="1:1" x14ac:dyDescent="0.25">
      <c r="A4367">
        <v>489</v>
      </c>
    </row>
    <row r="4368" spans="1:1" x14ac:dyDescent="0.25">
      <c r="A4368" t="s">
        <v>1456</v>
      </c>
    </row>
    <row r="4369" spans="1:1" x14ac:dyDescent="0.25">
      <c r="A4369" t="s">
        <v>749</v>
      </c>
    </row>
    <row r="4370" spans="1:1" x14ac:dyDescent="0.25">
      <c r="A4370" t="s">
        <v>809</v>
      </c>
    </row>
    <row r="4371" spans="1:1" x14ac:dyDescent="0.25">
      <c r="A4371">
        <v>2105</v>
      </c>
    </row>
    <row r="4372" spans="1:1" x14ac:dyDescent="0.25">
      <c r="A4372">
        <v>162</v>
      </c>
    </row>
    <row r="4373" spans="1:1" x14ac:dyDescent="0.25">
      <c r="A4373">
        <v>162</v>
      </c>
    </row>
    <row r="4374" spans="1:1" x14ac:dyDescent="0.25">
      <c r="A4374">
        <v>190</v>
      </c>
    </row>
    <row r="4375" spans="1:1" x14ac:dyDescent="0.25">
      <c r="A4375">
        <v>4</v>
      </c>
    </row>
    <row r="4376" spans="1:1" x14ac:dyDescent="0.25">
      <c r="A4376">
        <v>490</v>
      </c>
    </row>
    <row r="4377" spans="1:1" x14ac:dyDescent="0.25">
      <c r="A4377" t="s">
        <v>1457</v>
      </c>
    </row>
    <row r="4378" spans="1:1" x14ac:dyDescent="0.25">
      <c r="A4378" t="s">
        <v>750</v>
      </c>
    </row>
    <row r="4379" spans="1:1" x14ac:dyDescent="0.25">
      <c r="A4379" t="s">
        <v>809</v>
      </c>
    </row>
    <row r="4380" spans="1:1" x14ac:dyDescent="0.25">
      <c r="A4380">
        <v>3265</v>
      </c>
    </row>
    <row r="4381" spans="1:1" x14ac:dyDescent="0.25">
      <c r="A4381">
        <v>210</v>
      </c>
    </row>
    <row r="4382" spans="1:1" x14ac:dyDescent="0.25">
      <c r="A4382">
        <v>210</v>
      </c>
    </row>
    <row r="4383" spans="1:1" x14ac:dyDescent="0.25">
      <c r="A4383">
        <v>225</v>
      </c>
    </row>
    <row r="4384" spans="1:1" x14ac:dyDescent="0.25">
      <c r="A4384">
        <v>4</v>
      </c>
    </row>
    <row r="4385" spans="1:1" x14ac:dyDescent="0.25">
      <c r="A4385">
        <v>491</v>
      </c>
    </row>
    <row r="4386" spans="1:1" x14ac:dyDescent="0.25">
      <c r="A4386" t="s">
        <v>1458</v>
      </c>
    </row>
    <row r="4387" spans="1:1" x14ac:dyDescent="0.25">
      <c r="A4387" t="s">
        <v>751</v>
      </c>
    </row>
    <row r="4388" spans="1:1" x14ac:dyDescent="0.25">
      <c r="A4388" t="s">
        <v>894</v>
      </c>
    </row>
    <row r="4389" spans="1:1" x14ac:dyDescent="0.25">
      <c r="A4389">
        <v>3739</v>
      </c>
    </row>
    <row r="4390" spans="1:1" x14ac:dyDescent="0.25">
      <c r="A4390">
        <v>285</v>
      </c>
    </row>
    <row r="4391" spans="1:1" x14ac:dyDescent="0.25">
      <c r="A4391">
        <v>198</v>
      </c>
    </row>
    <row r="4392" spans="1:1" x14ac:dyDescent="0.25">
      <c r="A4392">
        <v>172</v>
      </c>
    </row>
    <row r="4393" spans="1:1" x14ac:dyDescent="0.25">
      <c r="A4393">
        <v>4</v>
      </c>
    </row>
    <row r="4394" spans="1:1" x14ac:dyDescent="0.25">
      <c r="A4394">
        <v>492</v>
      </c>
    </row>
    <row r="4395" spans="1:1" x14ac:dyDescent="0.25">
      <c r="A4395" t="s">
        <v>1459</v>
      </c>
    </row>
    <row r="4396" spans="1:1" x14ac:dyDescent="0.25">
      <c r="A4396" t="s">
        <v>1414</v>
      </c>
    </row>
    <row r="4397" spans="1:1" x14ac:dyDescent="0.25">
      <c r="A4397" t="s">
        <v>988</v>
      </c>
    </row>
    <row r="4398" spans="1:1" x14ac:dyDescent="0.25">
      <c r="A4398">
        <v>3265</v>
      </c>
    </row>
    <row r="4399" spans="1:1" x14ac:dyDescent="0.25">
      <c r="A4399">
        <v>210</v>
      </c>
    </row>
    <row r="4400" spans="1:1" x14ac:dyDescent="0.25">
      <c r="A4400">
        <v>210</v>
      </c>
    </row>
    <row r="4401" spans="1:1" x14ac:dyDescent="0.25">
      <c r="A4401">
        <v>225</v>
      </c>
    </row>
    <row r="4402" spans="1:1" x14ac:dyDescent="0.25">
      <c r="A4402">
        <v>4</v>
      </c>
    </row>
    <row r="4403" spans="1:1" x14ac:dyDescent="0.25">
      <c r="A4403">
        <v>492</v>
      </c>
    </row>
    <row r="4404" spans="1:1" x14ac:dyDescent="0.25">
      <c r="A4404" t="s">
        <v>1460</v>
      </c>
    </row>
    <row r="4405" spans="1:1" x14ac:dyDescent="0.25">
      <c r="A4405" t="s">
        <v>1415</v>
      </c>
    </row>
    <row r="4406" spans="1:1" x14ac:dyDescent="0.25">
      <c r="A4406" t="s">
        <v>1079</v>
      </c>
    </row>
    <row r="4407" spans="1:1" x14ac:dyDescent="0.25">
      <c r="A4407">
        <v>3592</v>
      </c>
    </row>
    <row r="4408" spans="1:1" x14ac:dyDescent="0.25">
      <c r="A4408">
        <v>261</v>
      </c>
    </row>
    <row r="4409" spans="1:1" x14ac:dyDescent="0.25">
      <c r="A4409">
        <v>166</v>
      </c>
    </row>
    <row r="4410" spans="1:1" x14ac:dyDescent="0.25">
      <c r="A4410">
        <v>225</v>
      </c>
    </row>
    <row r="4411" spans="1:1" x14ac:dyDescent="0.25">
      <c r="A4411">
        <v>4</v>
      </c>
    </row>
    <row r="4412" spans="1:1" x14ac:dyDescent="0.25">
      <c r="A4412">
        <v>493</v>
      </c>
    </row>
    <row r="4413" spans="1:1" x14ac:dyDescent="0.25">
      <c r="A4413" t="s">
        <v>1461</v>
      </c>
    </row>
    <row r="4414" spans="1:1" x14ac:dyDescent="0.25">
      <c r="A4414" t="s">
        <v>1416</v>
      </c>
    </row>
    <row r="4415" spans="1:1" x14ac:dyDescent="0.25">
      <c r="A4415" t="s">
        <v>813</v>
      </c>
    </row>
    <row r="4416" spans="1:1" x14ac:dyDescent="0.25">
      <c r="A4416">
        <v>3989</v>
      </c>
    </row>
    <row r="4417" spans="1:1" x14ac:dyDescent="0.25">
      <c r="A4417">
        <v>238</v>
      </c>
    </row>
    <row r="4418" spans="1:1" x14ac:dyDescent="0.25">
      <c r="A4418">
        <v>238</v>
      </c>
    </row>
    <row r="4419" spans="1:1" x14ac:dyDescent="0.25">
      <c r="A4419">
        <v>237</v>
      </c>
    </row>
    <row r="4420" spans="1:1" x14ac:dyDescent="0.25">
      <c r="A4420">
        <v>4</v>
      </c>
    </row>
    <row r="4421" spans="1:1" x14ac:dyDescent="0.25">
      <c r="A4421">
        <v>493</v>
      </c>
    </row>
    <row r="4422" spans="1:1" x14ac:dyDescent="0.25">
      <c r="A4422" t="s">
        <v>1462</v>
      </c>
    </row>
    <row r="4423" spans="1:1" x14ac:dyDescent="0.25">
      <c r="A4423" t="s">
        <v>1417</v>
      </c>
    </row>
    <row r="4424" spans="1:1" x14ac:dyDescent="0.25">
      <c r="A4424" t="s">
        <v>894</v>
      </c>
    </row>
    <row r="4425" spans="1:1" x14ac:dyDescent="0.25">
      <c r="A4425">
        <v>3989</v>
      </c>
    </row>
    <row r="4426" spans="1:1" x14ac:dyDescent="0.25">
      <c r="A4426">
        <v>238</v>
      </c>
    </row>
    <row r="4427" spans="1:1" x14ac:dyDescent="0.25">
      <c r="A4427">
        <v>238</v>
      </c>
    </row>
    <row r="4428" spans="1:1" x14ac:dyDescent="0.25">
      <c r="A4428">
        <v>237</v>
      </c>
    </row>
    <row r="4429" spans="1:1" x14ac:dyDescent="0.25">
      <c r="A4429">
        <v>4</v>
      </c>
    </row>
    <row r="4430" spans="1:1" x14ac:dyDescent="0.25">
      <c r="A4430">
        <v>493</v>
      </c>
    </row>
    <row r="4431" spans="1:1" x14ac:dyDescent="0.25">
      <c r="A4431" t="s">
        <v>1463</v>
      </c>
    </row>
    <row r="4432" spans="1:1" x14ac:dyDescent="0.25">
      <c r="A4432" t="s">
        <v>1418</v>
      </c>
    </row>
    <row r="4433" spans="1:1" x14ac:dyDescent="0.25">
      <c r="A4433" t="s">
        <v>1030</v>
      </c>
    </row>
    <row r="4434" spans="1:1" x14ac:dyDescent="0.25">
      <c r="A4434">
        <v>3989</v>
      </c>
    </row>
    <row r="4435" spans="1:1" x14ac:dyDescent="0.25">
      <c r="A4435">
        <v>238</v>
      </c>
    </row>
    <row r="4436" spans="1:1" x14ac:dyDescent="0.25">
      <c r="A4436">
        <v>238</v>
      </c>
    </row>
    <row r="4437" spans="1:1" x14ac:dyDescent="0.25">
      <c r="A4437">
        <v>237</v>
      </c>
    </row>
    <row r="4438" spans="1:1" x14ac:dyDescent="0.25">
      <c r="A4438">
        <v>4</v>
      </c>
    </row>
    <row r="4439" spans="1:1" x14ac:dyDescent="0.25">
      <c r="A4439">
        <v>493</v>
      </c>
    </row>
    <row r="4440" spans="1:1" x14ac:dyDescent="0.25">
      <c r="A4440" t="s">
        <v>1464</v>
      </c>
    </row>
    <row r="4441" spans="1:1" x14ac:dyDescent="0.25">
      <c r="A4441" t="s">
        <v>1419</v>
      </c>
    </row>
    <row r="4442" spans="1:1" x14ac:dyDescent="0.25">
      <c r="A4442" t="s">
        <v>839</v>
      </c>
    </row>
    <row r="4443" spans="1:1" x14ac:dyDescent="0.25">
      <c r="A4443">
        <v>3989</v>
      </c>
    </row>
    <row r="4444" spans="1:1" x14ac:dyDescent="0.25">
      <c r="A4444">
        <v>238</v>
      </c>
    </row>
    <row r="4445" spans="1:1" x14ac:dyDescent="0.25">
      <c r="A4445">
        <v>238</v>
      </c>
    </row>
    <row r="4446" spans="1:1" x14ac:dyDescent="0.25">
      <c r="A4446">
        <v>237</v>
      </c>
    </row>
    <row r="4447" spans="1:1" x14ac:dyDescent="0.25">
      <c r="A4447">
        <v>4</v>
      </c>
    </row>
    <row r="4448" spans="1:1" x14ac:dyDescent="0.25">
      <c r="A4448">
        <v>493</v>
      </c>
    </row>
    <row r="4449" spans="1:1" x14ac:dyDescent="0.25">
      <c r="A4449" t="s">
        <v>1465</v>
      </c>
    </row>
    <row r="4450" spans="1:1" x14ac:dyDescent="0.25">
      <c r="A4450" t="s">
        <v>1420</v>
      </c>
    </row>
    <row r="4451" spans="1:1" x14ac:dyDescent="0.25">
      <c r="A4451" t="s">
        <v>860</v>
      </c>
    </row>
    <row r="4452" spans="1:1" x14ac:dyDescent="0.25">
      <c r="A4452">
        <v>3989</v>
      </c>
    </row>
    <row r="4453" spans="1:1" x14ac:dyDescent="0.25">
      <c r="A4453">
        <v>238</v>
      </c>
    </row>
    <row r="4454" spans="1:1" x14ac:dyDescent="0.25">
      <c r="A4454">
        <v>238</v>
      </c>
    </row>
    <row r="4455" spans="1:1" x14ac:dyDescent="0.25">
      <c r="A4455">
        <v>237</v>
      </c>
    </row>
    <row r="4456" spans="1:1" x14ac:dyDescent="0.25">
      <c r="A4456">
        <v>4</v>
      </c>
    </row>
    <row r="4457" spans="1:1" x14ac:dyDescent="0.25">
      <c r="A4457">
        <v>493</v>
      </c>
    </row>
    <row r="4458" spans="1:1" x14ac:dyDescent="0.25">
      <c r="A4458" t="s">
        <v>1466</v>
      </c>
    </row>
    <row r="4459" spans="1:1" x14ac:dyDescent="0.25">
      <c r="A4459" t="s">
        <v>1421</v>
      </c>
    </row>
    <row r="4460" spans="1:1" x14ac:dyDescent="0.25">
      <c r="A4460" t="s">
        <v>901</v>
      </c>
    </row>
    <row r="4461" spans="1:1" x14ac:dyDescent="0.25">
      <c r="A4461">
        <v>3989</v>
      </c>
    </row>
    <row r="4462" spans="1:1" x14ac:dyDescent="0.25">
      <c r="A4462">
        <v>238</v>
      </c>
    </row>
    <row r="4463" spans="1:1" x14ac:dyDescent="0.25">
      <c r="A4463">
        <v>238</v>
      </c>
    </row>
    <row r="4464" spans="1:1" x14ac:dyDescent="0.25">
      <c r="A4464">
        <v>237</v>
      </c>
    </row>
    <row r="4465" spans="1:1" x14ac:dyDescent="0.25">
      <c r="A4465">
        <v>4</v>
      </c>
    </row>
    <row r="4466" spans="1:1" x14ac:dyDescent="0.25">
      <c r="A4466">
        <v>493</v>
      </c>
    </row>
    <row r="4467" spans="1:1" x14ac:dyDescent="0.25">
      <c r="A4467" t="s">
        <v>1467</v>
      </c>
    </row>
    <row r="4468" spans="1:1" x14ac:dyDescent="0.25">
      <c r="A4468" t="s">
        <v>1422</v>
      </c>
    </row>
    <row r="4469" spans="1:1" x14ac:dyDescent="0.25">
      <c r="A4469" t="s">
        <v>804</v>
      </c>
    </row>
    <row r="4470" spans="1:1" x14ac:dyDescent="0.25">
      <c r="A4470">
        <v>3989</v>
      </c>
    </row>
    <row r="4471" spans="1:1" x14ac:dyDescent="0.25">
      <c r="A4471">
        <v>238</v>
      </c>
    </row>
    <row r="4472" spans="1:1" x14ac:dyDescent="0.25">
      <c r="A4472">
        <v>238</v>
      </c>
    </row>
    <row r="4473" spans="1:1" x14ac:dyDescent="0.25">
      <c r="A4473">
        <v>237</v>
      </c>
    </row>
    <row r="4474" spans="1:1" x14ac:dyDescent="0.25">
      <c r="A4474">
        <v>4</v>
      </c>
    </row>
    <row r="4475" spans="1:1" x14ac:dyDescent="0.25">
      <c r="A4475">
        <v>493</v>
      </c>
    </row>
    <row r="4476" spans="1:1" x14ac:dyDescent="0.25">
      <c r="A4476" t="s">
        <v>1468</v>
      </c>
    </row>
    <row r="4477" spans="1:1" x14ac:dyDescent="0.25">
      <c r="A4477" t="s">
        <v>1423</v>
      </c>
    </row>
    <row r="4478" spans="1:1" x14ac:dyDescent="0.25">
      <c r="A4478" t="s">
        <v>1469</v>
      </c>
    </row>
    <row r="4479" spans="1:1" x14ac:dyDescent="0.25">
      <c r="A4479">
        <v>3989</v>
      </c>
    </row>
    <row r="4480" spans="1:1" x14ac:dyDescent="0.25">
      <c r="A4480">
        <v>238</v>
      </c>
    </row>
    <row r="4481" spans="1:1" x14ac:dyDescent="0.25">
      <c r="A4481">
        <v>238</v>
      </c>
    </row>
    <row r="4482" spans="1:1" x14ac:dyDescent="0.25">
      <c r="A4482">
        <v>237</v>
      </c>
    </row>
    <row r="4483" spans="1:1" x14ac:dyDescent="0.25">
      <c r="A4483">
        <v>4</v>
      </c>
    </row>
    <row r="4484" spans="1:1" x14ac:dyDescent="0.25">
      <c r="A4484">
        <v>493</v>
      </c>
    </row>
    <row r="4485" spans="1:1" x14ac:dyDescent="0.25">
      <c r="A4485" t="s">
        <v>1470</v>
      </c>
    </row>
    <row r="4486" spans="1:1" x14ac:dyDescent="0.25">
      <c r="A4486" t="s">
        <v>1424</v>
      </c>
    </row>
    <row r="4487" spans="1:1" x14ac:dyDescent="0.25">
      <c r="A4487" t="s">
        <v>1095</v>
      </c>
    </row>
    <row r="4488" spans="1:1" x14ac:dyDescent="0.25">
      <c r="A4488">
        <v>3989</v>
      </c>
    </row>
    <row r="4489" spans="1:1" x14ac:dyDescent="0.25">
      <c r="A4489">
        <v>238</v>
      </c>
    </row>
    <row r="4490" spans="1:1" x14ac:dyDescent="0.25">
      <c r="A4490">
        <v>238</v>
      </c>
    </row>
    <row r="4491" spans="1:1" x14ac:dyDescent="0.25">
      <c r="A4491">
        <v>237</v>
      </c>
    </row>
    <row r="4492" spans="1:1" x14ac:dyDescent="0.25">
      <c r="A4492">
        <v>4</v>
      </c>
    </row>
    <row r="4493" spans="1:1" x14ac:dyDescent="0.25">
      <c r="A4493">
        <v>493</v>
      </c>
    </row>
    <row r="4494" spans="1:1" x14ac:dyDescent="0.25">
      <c r="A4494" t="s">
        <v>1471</v>
      </c>
    </row>
    <row r="4495" spans="1:1" x14ac:dyDescent="0.25">
      <c r="A4495" t="s">
        <v>1425</v>
      </c>
    </row>
    <row r="4496" spans="1:1" x14ac:dyDescent="0.25">
      <c r="A4496" t="s">
        <v>988</v>
      </c>
    </row>
    <row r="4497" spans="1:1" x14ac:dyDescent="0.25">
      <c r="A4497">
        <v>3989</v>
      </c>
    </row>
    <row r="4498" spans="1:1" x14ac:dyDescent="0.25">
      <c r="A4498">
        <v>238</v>
      </c>
    </row>
    <row r="4499" spans="1:1" x14ac:dyDescent="0.25">
      <c r="A4499">
        <v>238</v>
      </c>
    </row>
    <row r="4500" spans="1:1" x14ac:dyDescent="0.25">
      <c r="A4500">
        <v>237</v>
      </c>
    </row>
    <row r="4501" spans="1:1" x14ac:dyDescent="0.25">
      <c r="A4501">
        <v>4</v>
      </c>
    </row>
    <row r="4502" spans="1:1" x14ac:dyDescent="0.25">
      <c r="A4502">
        <v>493</v>
      </c>
    </row>
    <row r="4503" spans="1:1" x14ac:dyDescent="0.25">
      <c r="A4503" t="s">
        <v>1472</v>
      </c>
    </row>
    <row r="4504" spans="1:1" x14ac:dyDescent="0.25">
      <c r="A4504" t="s">
        <v>1426</v>
      </c>
    </row>
    <row r="4505" spans="1:1" x14ac:dyDescent="0.25">
      <c r="A4505" t="s">
        <v>845</v>
      </c>
    </row>
    <row r="4506" spans="1:1" x14ac:dyDescent="0.25">
      <c r="A4506">
        <v>3989</v>
      </c>
    </row>
    <row r="4507" spans="1:1" x14ac:dyDescent="0.25">
      <c r="A4507">
        <v>238</v>
      </c>
    </row>
    <row r="4508" spans="1:1" x14ac:dyDescent="0.25">
      <c r="A4508">
        <v>238</v>
      </c>
    </row>
    <row r="4509" spans="1:1" x14ac:dyDescent="0.25">
      <c r="A4509">
        <v>237</v>
      </c>
    </row>
    <row r="4510" spans="1:1" x14ac:dyDescent="0.25">
      <c r="A4510">
        <v>4</v>
      </c>
    </row>
    <row r="4511" spans="1:1" x14ac:dyDescent="0.25">
      <c r="A4511">
        <v>493</v>
      </c>
    </row>
    <row r="4512" spans="1:1" x14ac:dyDescent="0.25">
      <c r="A4512" t="s">
        <v>1473</v>
      </c>
    </row>
    <row r="4513" spans="1:1" x14ac:dyDescent="0.25">
      <c r="A4513" t="s">
        <v>1427</v>
      </c>
    </row>
    <row r="4514" spans="1:1" x14ac:dyDescent="0.25">
      <c r="A4514" t="s">
        <v>865</v>
      </c>
    </row>
    <row r="4515" spans="1:1" x14ac:dyDescent="0.25">
      <c r="A4515">
        <v>3989</v>
      </c>
    </row>
    <row r="4516" spans="1:1" x14ac:dyDescent="0.25">
      <c r="A4516">
        <v>238</v>
      </c>
    </row>
    <row r="4517" spans="1:1" x14ac:dyDescent="0.25">
      <c r="A4517">
        <v>238</v>
      </c>
    </row>
    <row r="4518" spans="1:1" x14ac:dyDescent="0.25">
      <c r="A4518">
        <v>237</v>
      </c>
    </row>
    <row r="4519" spans="1:1" x14ac:dyDescent="0.25">
      <c r="A4519">
        <v>4</v>
      </c>
    </row>
    <row r="4520" spans="1:1" x14ac:dyDescent="0.25">
      <c r="A4520">
        <v>493</v>
      </c>
    </row>
    <row r="4521" spans="1:1" x14ac:dyDescent="0.25">
      <c r="A4521" t="s">
        <v>1474</v>
      </c>
    </row>
    <row r="4522" spans="1:1" x14ac:dyDescent="0.25">
      <c r="A4522" t="s">
        <v>1428</v>
      </c>
    </row>
    <row r="4523" spans="1:1" x14ac:dyDescent="0.25">
      <c r="A4523" t="s">
        <v>826</v>
      </c>
    </row>
    <row r="4524" spans="1:1" x14ac:dyDescent="0.25">
      <c r="A4524">
        <v>3989</v>
      </c>
    </row>
    <row r="4525" spans="1:1" x14ac:dyDescent="0.25">
      <c r="A4525">
        <v>238</v>
      </c>
    </row>
    <row r="4526" spans="1:1" x14ac:dyDescent="0.25">
      <c r="A4526">
        <v>238</v>
      </c>
    </row>
    <row r="4527" spans="1:1" x14ac:dyDescent="0.25">
      <c r="A4527">
        <v>237</v>
      </c>
    </row>
    <row r="4528" spans="1:1" x14ac:dyDescent="0.25">
      <c r="A4528">
        <v>4</v>
      </c>
    </row>
    <row r="4529" spans="1:1" x14ac:dyDescent="0.25">
      <c r="A4529">
        <v>493</v>
      </c>
    </row>
    <row r="4530" spans="1:1" x14ac:dyDescent="0.25">
      <c r="A4530" t="s">
        <v>1475</v>
      </c>
    </row>
    <row r="4531" spans="1:1" x14ac:dyDescent="0.25">
      <c r="A4531" t="s">
        <v>1429</v>
      </c>
    </row>
    <row r="4532" spans="1:1" x14ac:dyDescent="0.25">
      <c r="A4532" t="s">
        <v>836</v>
      </c>
    </row>
    <row r="4533" spans="1:1" x14ac:dyDescent="0.25">
      <c r="A4533">
        <v>3989</v>
      </c>
    </row>
    <row r="4534" spans="1:1" x14ac:dyDescent="0.25">
      <c r="A4534">
        <v>238</v>
      </c>
    </row>
    <row r="4535" spans="1:1" x14ac:dyDescent="0.25">
      <c r="A4535">
        <v>238</v>
      </c>
    </row>
    <row r="4536" spans="1:1" x14ac:dyDescent="0.25">
      <c r="A4536">
        <v>237</v>
      </c>
    </row>
    <row r="4537" spans="1:1" x14ac:dyDescent="0.25">
      <c r="A4537">
        <v>4</v>
      </c>
    </row>
    <row r="4538" spans="1:1" x14ac:dyDescent="0.25">
      <c r="A4538">
        <v>493</v>
      </c>
    </row>
    <row r="4539" spans="1:1" x14ac:dyDescent="0.25">
      <c r="A4539" t="s">
        <v>1476</v>
      </c>
    </row>
    <row r="4540" spans="1:1" x14ac:dyDescent="0.25">
      <c r="A4540" t="s">
        <v>1430</v>
      </c>
    </row>
    <row r="4541" spans="1:1" x14ac:dyDescent="0.25">
      <c r="A4541" t="s">
        <v>910</v>
      </c>
    </row>
    <row r="4542" spans="1:1" x14ac:dyDescent="0.25">
      <c r="A4542">
        <v>3989</v>
      </c>
    </row>
    <row r="4543" spans="1:1" x14ac:dyDescent="0.25">
      <c r="A4543">
        <v>238</v>
      </c>
    </row>
    <row r="4544" spans="1:1" x14ac:dyDescent="0.25">
      <c r="A4544">
        <v>238</v>
      </c>
    </row>
    <row r="4545" spans="1:1" x14ac:dyDescent="0.25">
      <c r="A4545">
        <v>237</v>
      </c>
    </row>
    <row r="4546" spans="1:1" x14ac:dyDescent="0.25">
      <c r="A4546">
        <v>4</v>
      </c>
    </row>
    <row r="4547" spans="1:1" x14ac:dyDescent="0.25">
      <c r="A4547">
        <v>493</v>
      </c>
    </row>
    <row r="4548" spans="1:1" x14ac:dyDescent="0.25">
      <c r="A4548" t="s">
        <v>1477</v>
      </c>
    </row>
    <row r="4549" spans="1:1" x14ac:dyDescent="0.25">
      <c r="A4549" t="s">
        <v>1431</v>
      </c>
    </row>
    <row r="4550" spans="1:1" x14ac:dyDescent="0.25">
      <c r="A4550" t="s">
        <v>1076</v>
      </c>
    </row>
    <row r="4551" spans="1:1" x14ac:dyDescent="0.25">
      <c r="A4551">
        <v>3989</v>
      </c>
    </row>
    <row r="4552" spans="1:1" x14ac:dyDescent="0.25">
      <c r="A4552">
        <v>238</v>
      </c>
    </row>
    <row r="4553" spans="1:1" x14ac:dyDescent="0.25">
      <c r="A4553">
        <v>238</v>
      </c>
    </row>
    <row r="4554" spans="1:1" x14ac:dyDescent="0.25">
      <c r="A4554">
        <v>237</v>
      </c>
    </row>
    <row r="4555" spans="1:1" x14ac:dyDescent="0.25">
      <c r="A4555">
        <v>4</v>
      </c>
    </row>
    <row r="4556" spans="1:1" x14ac:dyDescent="0.25">
      <c r="A4556">
        <v>493</v>
      </c>
    </row>
    <row r="4557" spans="1:1" x14ac:dyDescent="0.25">
      <c r="A4557" t="s">
        <v>1478</v>
      </c>
    </row>
    <row r="4558" spans="1:1" x14ac:dyDescent="0.25">
      <c r="A4558" t="s">
        <v>1432</v>
      </c>
    </row>
    <row r="4559" spans="1:1" x14ac:dyDescent="0.25">
      <c r="A4559" t="s">
        <v>1479</v>
      </c>
    </row>
    <row r="4560" spans="1:1" x14ac:dyDescent="0.25">
      <c r="A4560">
        <v>3989</v>
      </c>
    </row>
    <row r="4561" spans="1:1" x14ac:dyDescent="0.25">
      <c r="A4561">
        <v>238</v>
      </c>
    </row>
    <row r="4562" spans="1:1" x14ac:dyDescent="0.25">
      <c r="A4562">
        <v>238</v>
      </c>
    </row>
    <row r="4563" spans="1:1" x14ac:dyDescent="0.25">
      <c r="A4563">
        <v>237</v>
      </c>
    </row>
    <row r="4564" spans="1:1" x14ac:dyDescent="0.25">
      <c r="A4564">
        <v>4</v>
      </c>
    </row>
    <row r="4565" spans="1:1" x14ac:dyDescent="0.25">
      <c r="A4565">
        <v>493</v>
      </c>
    </row>
    <row r="4566" spans="1:1" x14ac:dyDescent="0.25">
      <c r="A4566" t="s">
        <v>1480</v>
      </c>
    </row>
    <row r="4567" spans="1:1" x14ac:dyDescent="0.25">
      <c r="A4567" t="s">
        <v>1433</v>
      </c>
    </row>
    <row r="4568" spans="1:1" x14ac:dyDescent="0.25">
      <c r="A4568" t="s">
        <v>809</v>
      </c>
    </row>
    <row r="4569" spans="1:1" x14ac:dyDescent="0.25">
      <c r="A4569">
        <v>3989</v>
      </c>
    </row>
    <row r="4570" spans="1:1" x14ac:dyDescent="0.25">
      <c r="A4570">
        <v>238</v>
      </c>
    </row>
    <row r="4571" spans="1:1" x14ac:dyDescent="0.25">
      <c r="A4571">
        <v>238</v>
      </c>
    </row>
    <row r="4572" spans="1:1" x14ac:dyDescent="0.25">
      <c r="A4572">
        <v>237</v>
      </c>
    </row>
    <row r="4573" spans="1:1" x14ac:dyDescent="0.25">
      <c r="A4573">
        <v>4</v>
      </c>
    </row>
    <row r="4574" spans="1:1" x14ac:dyDescent="0.25">
      <c r="A4574">
        <v>494</v>
      </c>
    </row>
    <row r="4575" spans="1:1" x14ac:dyDescent="0.25">
      <c r="A4575" t="s">
        <v>1489</v>
      </c>
    </row>
    <row r="4576" spans="1:1" x14ac:dyDescent="0.25">
      <c r="A4576" t="s">
        <v>754</v>
      </c>
    </row>
    <row r="4577" spans="1:1" x14ac:dyDescent="0.25">
      <c r="A4577" t="s">
        <v>1490</v>
      </c>
    </row>
    <row r="4578" spans="1:1" x14ac:dyDescent="0.25">
      <c r="A4578">
        <v>3265</v>
      </c>
    </row>
    <row r="4579" spans="1:1" x14ac:dyDescent="0.25">
      <c r="A4579">
        <v>210</v>
      </c>
    </row>
    <row r="4580" spans="1:1" x14ac:dyDescent="0.25">
      <c r="A4580">
        <v>210</v>
      </c>
    </row>
    <row r="4581" spans="1:1" x14ac:dyDescent="0.25">
      <c r="A4581">
        <v>225</v>
      </c>
    </row>
    <row r="4582" spans="1:1" x14ac:dyDescent="0.25">
      <c r="A4582">
        <v>5</v>
      </c>
    </row>
    <row r="4583" spans="1:1" x14ac:dyDescent="0.25">
      <c r="A4583">
        <v>495</v>
      </c>
    </row>
    <row r="4584" spans="1:1" x14ac:dyDescent="0.25">
      <c r="A4584" t="s">
        <v>1491</v>
      </c>
    </row>
    <row r="4585" spans="1:1" x14ac:dyDescent="0.25">
      <c r="A4585" t="s">
        <v>438</v>
      </c>
    </row>
    <row r="4586" spans="1:1" x14ac:dyDescent="0.25">
      <c r="A4586" t="s">
        <v>988</v>
      </c>
    </row>
    <row r="4587" spans="1:1" x14ac:dyDescent="0.25">
      <c r="A4587">
        <v>849</v>
      </c>
    </row>
    <row r="4588" spans="1:1" x14ac:dyDescent="0.25">
      <c r="A4588">
        <v>88</v>
      </c>
    </row>
    <row r="4589" spans="1:1" x14ac:dyDescent="0.25">
      <c r="A4589">
        <v>107</v>
      </c>
    </row>
    <row r="4590" spans="1:1" x14ac:dyDescent="0.25">
      <c r="A4590">
        <v>128</v>
      </c>
    </row>
    <row r="4591" spans="1:1" x14ac:dyDescent="0.25">
      <c r="A4591">
        <v>5</v>
      </c>
    </row>
    <row r="4592" spans="1:1" x14ac:dyDescent="0.25">
      <c r="A4592">
        <v>496</v>
      </c>
    </row>
    <row r="4593" spans="1:1" x14ac:dyDescent="0.25">
      <c r="A4593" t="s">
        <v>1492</v>
      </c>
    </row>
    <row r="4594" spans="1:1" x14ac:dyDescent="0.25">
      <c r="A4594" t="s">
        <v>439</v>
      </c>
    </row>
    <row r="4595" spans="1:1" x14ac:dyDescent="0.25">
      <c r="A4595" t="s">
        <v>988</v>
      </c>
    </row>
    <row r="4596" spans="1:1" x14ac:dyDescent="0.25">
      <c r="A4596">
        <v>1441</v>
      </c>
    </row>
    <row r="4597" spans="1:1" x14ac:dyDescent="0.25">
      <c r="A4597">
        <v>122</v>
      </c>
    </row>
    <row r="4598" spans="1:1" x14ac:dyDescent="0.25">
      <c r="A4598">
        <v>152</v>
      </c>
    </row>
    <row r="4599" spans="1:1" x14ac:dyDescent="0.25">
      <c r="A4599">
        <v>155</v>
      </c>
    </row>
    <row r="4600" spans="1:1" x14ac:dyDescent="0.25">
      <c r="A4600">
        <v>5</v>
      </c>
    </row>
    <row r="4601" spans="1:1" x14ac:dyDescent="0.25">
      <c r="A4601">
        <v>497</v>
      </c>
    </row>
    <row r="4602" spans="1:1" x14ac:dyDescent="0.25">
      <c r="A4602" t="s">
        <v>1493</v>
      </c>
    </row>
    <row r="4603" spans="1:1" x14ac:dyDescent="0.25">
      <c r="A4603" t="s">
        <v>440</v>
      </c>
    </row>
    <row r="4604" spans="1:1" x14ac:dyDescent="0.25">
      <c r="A4604" t="s">
        <v>988</v>
      </c>
    </row>
    <row r="4605" spans="1:1" x14ac:dyDescent="0.25">
      <c r="A4605">
        <v>2277</v>
      </c>
    </row>
    <row r="4606" spans="1:1" x14ac:dyDescent="0.25">
      <c r="A4606">
        <v>161</v>
      </c>
    </row>
    <row r="4607" spans="1:1" x14ac:dyDescent="0.25">
      <c r="A4607">
        <v>204</v>
      </c>
    </row>
    <row r="4608" spans="1:1" x14ac:dyDescent="0.25">
      <c r="A4608">
        <v>181</v>
      </c>
    </row>
    <row r="4609" spans="1:1" x14ac:dyDescent="0.25">
      <c r="A4609">
        <v>5</v>
      </c>
    </row>
    <row r="4610" spans="1:1" x14ac:dyDescent="0.25">
      <c r="A4610">
        <v>498</v>
      </c>
    </row>
    <row r="4611" spans="1:1" x14ac:dyDescent="0.25">
      <c r="A4611" t="s">
        <v>1494</v>
      </c>
    </row>
    <row r="4612" spans="1:1" x14ac:dyDescent="0.25">
      <c r="A4612" t="s">
        <v>441</v>
      </c>
    </row>
    <row r="4613" spans="1:1" x14ac:dyDescent="0.25">
      <c r="A4613" t="s">
        <v>804</v>
      </c>
    </row>
    <row r="4614" spans="1:1" x14ac:dyDescent="0.25">
      <c r="A4614">
        <v>1083</v>
      </c>
    </row>
    <row r="4615" spans="1:1" x14ac:dyDescent="0.25">
      <c r="A4615">
        <v>115</v>
      </c>
    </row>
    <row r="4616" spans="1:1" x14ac:dyDescent="0.25">
      <c r="A4616">
        <v>85</v>
      </c>
    </row>
    <row r="4617" spans="1:1" x14ac:dyDescent="0.25">
      <c r="A4617">
        <v>163</v>
      </c>
    </row>
    <row r="4618" spans="1:1" x14ac:dyDescent="0.25">
      <c r="A4618">
        <v>5</v>
      </c>
    </row>
    <row r="4619" spans="1:1" x14ac:dyDescent="0.25">
      <c r="A4619">
        <v>499</v>
      </c>
    </row>
    <row r="4620" spans="1:1" x14ac:dyDescent="0.25">
      <c r="A4620" t="s">
        <v>1495</v>
      </c>
    </row>
    <row r="4621" spans="1:1" x14ac:dyDescent="0.25">
      <c r="A4621" t="s">
        <v>442</v>
      </c>
    </row>
    <row r="4622" spans="1:1" x14ac:dyDescent="0.25">
      <c r="A4622" t="s">
        <v>1167</v>
      </c>
    </row>
    <row r="4623" spans="1:1" x14ac:dyDescent="0.25">
      <c r="A4623">
        <v>1924</v>
      </c>
    </row>
    <row r="4624" spans="1:1" x14ac:dyDescent="0.25">
      <c r="A4624">
        <v>173</v>
      </c>
    </row>
    <row r="4625" spans="1:1" x14ac:dyDescent="0.25">
      <c r="A4625">
        <v>106</v>
      </c>
    </row>
    <row r="4626" spans="1:1" x14ac:dyDescent="0.25">
      <c r="A4626">
        <v>207</v>
      </c>
    </row>
    <row r="4627" spans="1:1" x14ac:dyDescent="0.25">
      <c r="A4627">
        <v>5</v>
      </c>
    </row>
    <row r="4628" spans="1:1" x14ac:dyDescent="0.25">
      <c r="A4628">
        <v>500</v>
      </c>
    </row>
    <row r="4629" spans="1:1" x14ac:dyDescent="0.25">
      <c r="A4629" t="s">
        <v>1496</v>
      </c>
    </row>
    <row r="4630" spans="1:1" x14ac:dyDescent="0.25">
      <c r="A4630" t="s">
        <v>443</v>
      </c>
    </row>
    <row r="4631" spans="1:1" x14ac:dyDescent="0.25">
      <c r="A4631" t="s">
        <v>1167</v>
      </c>
    </row>
    <row r="4632" spans="1:1" x14ac:dyDescent="0.25">
      <c r="A4632">
        <v>2982</v>
      </c>
    </row>
    <row r="4633" spans="1:1" x14ac:dyDescent="0.25">
      <c r="A4633">
        <v>235</v>
      </c>
    </row>
    <row r="4634" spans="1:1" x14ac:dyDescent="0.25">
      <c r="A4634">
        <v>127</v>
      </c>
    </row>
    <row r="4635" spans="1:1" x14ac:dyDescent="0.25">
      <c r="A4635">
        <v>242</v>
      </c>
    </row>
    <row r="4636" spans="1:1" x14ac:dyDescent="0.25">
      <c r="A4636">
        <v>5</v>
      </c>
    </row>
    <row r="4637" spans="1:1" x14ac:dyDescent="0.25">
      <c r="A4637">
        <v>501</v>
      </c>
    </row>
    <row r="4638" spans="1:1" x14ac:dyDescent="0.25">
      <c r="A4638" t="s">
        <v>1497</v>
      </c>
    </row>
    <row r="4639" spans="1:1" x14ac:dyDescent="0.25">
      <c r="A4639" t="s">
        <v>444</v>
      </c>
    </row>
    <row r="4640" spans="1:1" x14ac:dyDescent="0.25">
      <c r="A4640" t="s">
        <v>809</v>
      </c>
    </row>
    <row r="4641" spans="1:1" x14ac:dyDescent="0.25">
      <c r="A4641">
        <v>1046</v>
      </c>
    </row>
    <row r="4642" spans="1:1" x14ac:dyDescent="0.25">
      <c r="A4642">
        <v>117</v>
      </c>
    </row>
    <row r="4643" spans="1:1" x14ac:dyDescent="0.25">
      <c r="A4643">
        <v>85</v>
      </c>
    </row>
    <row r="4644" spans="1:1" x14ac:dyDescent="0.25">
      <c r="A4644">
        <v>146</v>
      </c>
    </row>
    <row r="4645" spans="1:1" x14ac:dyDescent="0.25">
      <c r="A4645">
        <v>5</v>
      </c>
    </row>
    <row r="4646" spans="1:1" x14ac:dyDescent="0.25">
      <c r="A4646">
        <v>502</v>
      </c>
    </row>
    <row r="4647" spans="1:1" x14ac:dyDescent="0.25">
      <c r="A4647" t="s">
        <v>1498</v>
      </c>
    </row>
    <row r="4648" spans="1:1" x14ac:dyDescent="0.25">
      <c r="A4648" t="s">
        <v>445</v>
      </c>
    </row>
    <row r="4649" spans="1:1" x14ac:dyDescent="0.25">
      <c r="A4649" t="s">
        <v>809</v>
      </c>
    </row>
    <row r="4650" spans="1:1" x14ac:dyDescent="0.25">
      <c r="A4650">
        <v>1741</v>
      </c>
    </row>
    <row r="4651" spans="1:1" x14ac:dyDescent="0.25">
      <c r="A4651">
        <v>159</v>
      </c>
    </row>
    <row r="4652" spans="1:1" x14ac:dyDescent="0.25">
      <c r="A4652">
        <v>116</v>
      </c>
    </row>
    <row r="4653" spans="1:1" x14ac:dyDescent="0.25">
      <c r="A4653">
        <v>181</v>
      </c>
    </row>
    <row r="4654" spans="1:1" x14ac:dyDescent="0.25">
      <c r="A4654">
        <v>5</v>
      </c>
    </row>
    <row r="4655" spans="1:1" x14ac:dyDescent="0.25">
      <c r="A4655">
        <v>503</v>
      </c>
    </row>
    <row r="4656" spans="1:1" x14ac:dyDescent="0.25">
      <c r="A4656" t="s">
        <v>1499</v>
      </c>
    </row>
    <row r="4657" spans="1:1" x14ac:dyDescent="0.25">
      <c r="A4657" t="s">
        <v>446</v>
      </c>
    </row>
    <row r="4658" spans="1:1" x14ac:dyDescent="0.25">
      <c r="A4658" t="s">
        <v>809</v>
      </c>
    </row>
    <row r="4659" spans="1:1" x14ac:dyDescent="0.25">
      <c r="A4659">
        <v>2826</v>
      </c>
    </row>
    <row r="4660" spans="1:1" x14ac:dyDescent="0.25">
      <c r="A4660">
        <v>212</v>
      </c>
    </row>
    <row r="4661" spans="1:1" x14ac:dyDescent="0.25">
      <c r="A4661">
        <v>157</v>
      </c>
    </row>
    <row r="4662" spans="1:1" x14ac:dyDescent="0.25">
      <c r="A4662">
        <v>216</v>
      </c>
    </row>
    <row r="4663" spans="1:1" x14ac:dyDescent="0.25">
      <c r="A4663">
        <v>5</v>
      </c>
    </row>
    <row r="4664" spans="1:1" x14ac:dyDescent="0.25">
      <c r="A4664">
        <v>504</v>
      </c>
    </row>
    <row r="4665" spans="1:1" x14ac:dyDescent="0.25">
      <c r="A4665" t="s">
        <v>1500</v>
      </c>
    </row>
    <row r="4666" spans="1:1" x14ac:dyDescent="0.25">
      <c r="A4666" t="s">
        <v>169</v>
      </c>
    </row>
    <row r="4667" spans="1:1" x14ac:dyDescent="0.25">
      <c r="A4667" t="s">
        <v>826</v>
      </c>
    </row>
    <row r="4668" spans="1:1" x14ac:dyDescent="0.25">
      <c r="A4668">
        <v>791</v>
      </c>
    </row>
    <row r="4669" spans="1:1" x14ac:dyDescent="0.25">
      <c r="A4669">
        <v>98</v>
      </c>
    </row>
    <row r="4670" spans="1:1" x14ac:dyDescent="0.25">
      <c r="A4670">
        <v>73</v>
      </c>
    </row>
    <row r="4671" spans="1:1" x14ac:dyDescent="0.25">
      <c r="A4671">
        <v>128</v>
      </c>
    </row>
    <row r="4672" spans="1:1" x14ac:dyDescent="0.25">
      <c r="A4672">
        <v>5</v>
      </c>
    </row>
    <row r="4673" spans="1:1" x14ac:dyDescent="0.25">
      <c r="A4673">
        <v>505</v>
      </c>
    </row>
    <row r="4674" spans="1:1" x14ac:dyDescent="0.25">
      <c r="A4674" t="s">
        <v>1501</v>
      </c>
    </row>
    <row r="4675" spans="1:1" x14ac:dyDescent="0.25">
      <c r="A4675" t="s">
        <v>170</v>
      </c>
    </row>
    <row r="4676" spans="1:1" x14ac:dyDescent="0.25">
      <c r="A4676" t="s">
        <v>826</v>
      </c>
    </row>
    <row r="4677" spans="1:1" x14ac:dyDescent="0.25">
      <c r="A4677">
        <v>1819</v>
      </c>
    </row>
    <row r="4678" spans="1:1" x14ac:dyDescent="0.25">
      <c r="A4678">
        <v>165</v>
      </c>
    </row>
    <row r="4679" spans="1:1" x14ac:dyDescent="0.25">
      <c r="A4679">
        <v>139</v>
      </c>
    </row>
    <row r="4680" spans="1:1" x14ac:dyDescent="0.25">
      <c r="A4680">
        <v>155</v>
      </c>
    </row>
    <row r="4681" spans="1:1" x14ac:dyDescent="0.25">
      <c r="A4681">
        <v>5</v>
      </c>
    </row>
    <row r="4682" spans="1:1" x14ac:dyDescent="0.25">
      <c r="A4682">
        <v>506</v>
      </c>
    </row>
    <row r="4683" spans="1:1" x14ac:dyDescent="0.25">
      <c r="A4683" t="s">
        <v>1502</v>
      </c>
    </row>
    <row r="4684" spans="1:1" x14ac:dyDescent="0.25">
      <c r="A4684" t="s">
        <v>171</v>
      </c>
    </row>
    <row r="4685" spans="1:1" x14ac:dyDescent="0.25">
      <c r="A4685" t="s">
        <v>826</v>
      </c>
    </row>
    <row r="4686" spans="1:1" x14ac:dyDescent="0.25">
      <c r="A4686">
        <v>915</v>
      </c>
    </row>
    <row r="4687" spans="1:1" x14ac:dyDescent="0.25">
      <c r="A4687">
        <v>107</v>
      </c>
    </row>
    <row r="4688" spans="1:1" x14ac:dyDescent="0.25">
      <c r="A4688">
        <v>86</v>
      </c>
    </row>
    <row r="4689" spans="1:1" x14ac:dyDescent="0.25">
      <c r="A4689">
        <v>128</v>
      </c>
    </row>
    <row r="4690" spans="1:1" x14ac:dyDescent="0.25">
      <c r="A4690">
        <v>5</v>
      </c>
    </row>
    <row r="4691" spans="1:1" x14ac:dyDescent="0.25">
      <c r="A4691">
        <v>507</v>
      </c>
    </row>
    <row r="4692" spans="1:1" x14ac:dyDescent="0.25">
      <c r="A4692" t="s">
        <v>1503</v>
      </c>
    </row>
    <row r="4693" spans="1:1" x14ac:dyDescent="0.25">
      <c r="A4693" t="s">
        <v>172</v>
      </c>
    </row>
    <row r="4694" spans="1:1" x14ac:dyDescent="0.25">
      <c r="A4694" t="s">
        <v>826</v>
      </c>
    </row>
    <row r="4695" spans="1:1" x14ac:dyDescent="0.25">
      <c r="A4695">
        <v>1583</v>
      </c>
    </row>
    <row r="4696" spans="1:1" x14ac:dyDescent="0.25">
      <c r="A4696">
        <v>145</v>
      </c>
    </row>
    <row r="4697" spans="1:1" x14ac:dyDescent="0.25">
      <c r="A4697">
        <v>126</v>
      </c>
    </row>
    <row r="4698" spans="1:1" x14ac:dyDescent="0.25">
      <c r="A4698">
        <v>163</v>
      </c>
    </row>
    <row r="4699" spans="1:1" x14ac:dyDescent="0.25">
      <c r="A4699">
        <v>5</v>
      </c>
    </row>
    <row r="4700" spans="1:1" x14ac:dyDescent="0.25">
      <c r="A4700">
        <v>508</v>
      </c>
    </row>
    <row r="4701" spans="1:1" x14ac:dyDescent="0.25">
      <c r="A4701" t="s">
        <v>1504</v>
      </c>
    </row>
    <row r="4702" spans="1:1" x14ac:dyDescent="0.25">
      <c r="A4702" t="s">
        <v>173</v>
      </c>
    </row>
    <row r="4703" spans="1:1" x14ac:dyDescent="0.25">
      <c r="A4703" t="s">
        <v>826</v>
      </c>
    </row>
    <row r="4704" spans="1:1" x14ac:dyDescent="0.25">
      <c r="A4704">
        <v>2827</v>
      </c>
    </row>
    <row r="4705" spans="1:1" x14ac:dyDescent="0.25">
      <c r="A4705">
        <v>206</v>
      </c>
    </row>
    <row r="4706" spans="1:1" x14ac:dyDescent="0.25">
      <c r="A4706">
        <v>182</v>
      </c>
    </row>
    <row r="4707" spans="1:1" x14ac:dyDescent="0.25">
      <c r="A4707">
        <v>198</v>
      </c>
    </row>
    <row r="4708" spans="1:1" x14ac:dyDescent="0.25">
      <c r="A4708">
        <v>5</v>
      </c>
    </row>
    <row r="4709" spans="1:1" x14ac:dyDescent="0.25">
      <c r="A4709">
        <v>509</v>
      </c>
    </row>
    <row r="4710" spans="1:1" x14ac:dyDescent="0.25">
      <c r="A4710" t="s">
        <v>1505</v>
      </c>
    </row>
    <row r="4711" spans="1:1" x14ac:dyDescent="0.25">
      <c r="A4711" t="s">
        <v>174</v>
      </c>
    </row>
    <row r="4712" spans="1:1" x14ac:dyDescent="0.25">
      <c r="A4712" t="s">
        <v>894</v>
      </c>
    </row>
    <row r="4713" spans="1:1" x14ac:dyDescent="0.25">
      <c r="A4713">
        <v>772</v>
      </c>
    </row>
    <row r="4714" spans="1:1" x14ac:dyDescent="0.25">
      <c r="A4714">
        <v>98</v>
      </c>
    </row>
    <row r="4715" spans="1:1" x14ac:dyDescent="0.25">
      <c r="A4715">
        <v>73</v>
      </c>
    </row>
    <row r="4716" spans="1:1" x14ac:dyDescent="0.25">
      <c r="A4716">
        <v>121</v>
      </c>
    </row>
    <row r="4717" spans="1:1" x14ac:dyDescent="0.25">
      <c r="A4717">
        <v>5</v>
      </c>
    </row>
    <row r="4718" spans="1:1" x14ac:dyDescent="0.25">
      <c r="A4718">
        <v>510</v>
      </c>
    </row>
    <row r="4719" spans="1:1" x14ac:dyDescent="0.25">
      <c r="A4719" t="s">
        <v>1506</v>
      </c>
    </row>
    <row r="4720" spans="1:1" x14ac:dyDescent="0.25">
      <c r="A4720" t="s">
        <v>175</v>
      </c>
    </row>
    <row r="4721" spans="1:1" x14ac:dyDescent="0.25">
      <c r="A4721" t="s">
        <v>894</v>
      </c>
    </row>
    <row r="4722" spans="1:1" x14ac:dyDescent="0.25">
      <c r="A4722">
        <v>1846</v>
      </c>
    </row>
    <row r="4723" spans="1:1" x14ac:dyDescent="0.25">
      <c r="A4723">
        <v>187</v>
      </c>
    </row>
    <row r="4724" spans="1:1" x14ac:dyDescent="0.25">
      <c r="A4724">
        <v>106</v>
      </c>
    </row>
    <row r="4725" spans="1:1" x14ac:dyDescent="0.25">
      <c r="A4725">
        <v>162</v>
      </c>
    </row>
    <row r="4726" spans="1:1" x14ac:dyDescent="0.25">
      <c r="A4726">
        <v>5</v>
      </c>
    </row>
    <row r="4727" spans="1:1" x14ac:dyDescent="0.25">
      <c r="A4727">
        <v>511</v>
      </c>
    </row>
    <row r="4728" spans="1:1" x14ac:dyDescent="0.25">
      <c r="A4728" t="s">
        <v>1507</v>
      </c>
    </row>
    <row r="4729" spans="1:1" x14ac:dyDescent="0.25">
      <c r="A4729" t="s">
        <v>447</v>
      </c>
    </row>
    <row r="4730" spans="1:1" x14ac:dyDescent="0.25">
      <c r="A4730" t="s">
        <v>988</v>
      </c>
    </row>
    <row r="4731" spans="1:1" x14ac:dyDescent="0.25">
      <c r="A4731">
        <v>956</v>
      </c>
    </row>
    <row r="4732" spans="1:1" x14ac:dyDescent="0.25">
      <c r="A4732">
        <v>104</v>
      </c>
    </row>
    <row r="4733" spans="1:1" x14ac:dyDescent="0.25">
      <c r="A4733">
        <v>94</v>
      </c>
    </row>
    <row r="4734" spans="1:1" x14ac:dyDescent="0.25">
      <c r="A4734">
        <v>137</v>
      </c>
    </row>
    <row r="4735" spans="1:1" x14ac:dyDescent="0.25">
      <c r="A4735">
        <v>5</v>
      </c>
    </row>
    <row r="4736" spans="1:1" x14ac:dyDescent="0.25">
      <c r="A4736">
        <v>512</v>
      </c>
    </row>
    <row r="4737" spans="1:1" x14ac:dyDescent="0.25">
      <c r="A4737" t="s">
        <v>1508</v>
      </c>
    </row>
    <row r="4738" spans="1:1" x14ac:dyDescent="0.25">
      <c r="A4738" t="s">
        <v>448</v>
      </c>
    </row>
    <row r="4739" spans="1:1" x14ac:dyDescent="0.25">
      <c r="A4739" t="s">
        <v>988</v>
      </c>
    </row>
    <row r="4740" spans="1:1" x14ac:dyDescent="0.25">
      <c r="A4740">
        <v>2350</v>
      </c>
    </row>
    <row r="4741" spans="1:1" x14ac:dyDescent="0.25">
      <c r="A4741">
        <v>206</v>
      </c>
    </row>
    <row r="4742" spans="1:1" x14ac:dyDescent="0.25">
      <c r="A4742">
        <v>133</v>
      </c>
    </row>
    <row r="4743" spans="1:1" x14ac:dyDescent="0.25">
      <c r="A4743">
        <v>181</v>
      </c>
    </row>
    <row r="4744" spans="1:1" x14ac:dyDescent="0.25">
      <c r="A4744">
        <v>5</v>
      </c>
    </row>
    <row r="4745" spans="1:1" x14ac:dyDescent="0.25">
      <c r="A4745">
        <v>513</v>
      </c>
    </row>
    <row r="4746" spans="1:1" x14ac:dyDescent="0.25">
      <c r="A4746" t="s">
        <v>1509</v>
      </c>
    </row>
    <row r="4747" spans="1:1" x14ac:dyDescent="0.25">
      <c r="A4747" t="s">
        <v>449</v>
      </c>
    </row>
    <row r="4748" spans="1:1" x14ac:dyDescent="0.25">
      <c r="A4748" t="s">
        <v>804</v>
      </c>
    </row>
    <row r="4749" spans="1:1" x14ac:dyDescent="0.25">
      <c r="A4749">
        <v>956</v>
      </c>
    </row>
    <row r="4750" spans="1:1" x14ac:dyDescent="0.25">
      <c r="A4750">
        <v>104</v>
      </c>
    </row>
    <row r="4751" spans="1:1" x14ac:dyDescent="0.25">
      <c r="A4751">
        <v>94</v>
      </c>
    </row>
    <row r="4752" spans="1:1" x14ac:dyDescent="0.25">
      <c r="A4752">
        <v>137</v>
      </c>
    </row>
    <row r="4753" spans="1:1" x14ac:dyDescent="0.25">
      <c r="A4753">
        <v>5</v>
      </c>
    </row>
    <row r="4754" spans="1:1" x14ac:dyDescent="0.25">
      <c r="A4754">
        <v>514</v>
      </c>
    </row>
    <row r="4755" spans="1:1" x14ac:dyDescent="0.25">
      <c r="A4755" t="s">
        <v>1510</v>
      </c>
    </row>
    <row r="4756" spans="1:1" x14ac:dyDescent="0.25">
      <c r="A4756" t="s">
        <v>450</v>
      </c>
    </row>
    <row r="4757" spans="1:1" x14ac:dyDescent="0.25">
      <c r="A4757" t="s">
        <v>804</v>
      </c>
    </row>
    <row r="4758" spans="1:1" x14ac:dyDescent="0.25">
      <c r="A4758">
        <v>2350</v>
      </c>
    </row>
    <row r="4759" spans="1:1" x14ac:dyDescent="0.25">
      <c r="A4759">
        <v>206</v>
      </c>
    </row>
    <row r="4760" spans="1:1" x14ac:dyDescent="0.25">
      <c r="A4760">
        <v>133</v>
      </c>
    </row>
    <row r="4761" spans="1:1" x14ac:dyDescent="0.25">
      <c r="A4761">
        <v>181</v>
      </c>
    </row>
    <row r="4762" spans="1:1" x14ac:dyDescent="0.25">
      <c r="A4762">
        <v>5</v>
      </c>
    </row>
    <row r="4763" spans="1:1" x14ac:dyDescent="0.25">
      <c r="A4763">
        <v>515</v>
      </c>
    </row>
    <row r="4764" spans="1:1" x14ac:dyDescent="0.25">
      <c r="A4764" t="s">
        <v>1511</v>
      </c>
    </row>
    <row r="4765" spans="1:1" x14ac:dyDescent="0.25">
      <c r="A4765" t="s">
        <v>451</v>
      </c>
    </row>
    <row r="4766" spans="1:1" x14ac:dyDescent="0.25">
      <c r="A4766" t="s">
        <v>809</v>
      </c>
    </row>
    <row r="4767" spans="1:1" x14ac:dyDescent="0.25">
      <c r="A4767">
        <v>956</v>
      </c>
    </row>
    <row r="4768" spans="1:1" x14ac:dyDescent="0.25">
      <c r="A4768">
        <v>104</v>
      </c>
    </row>
    <row r="4769" spans="1:1" x14ac:dyDescent="0.25">
      <c r="A4769">
        <v>94</v>
      </c>
    </row>
    <row r="4770" spans="1:1" x14ac:dyDescent="0.25">
      <c r="A4770">
        <v>137</v>
      </c>
    </row>
    <row r="4771" spans="1:1" x14ac:dyDescent="0.25">
      <c r="A4771">
        <v>5</v>
      </c>
    </row>
    <row r="4772" spans="1:1" x14ac:dyDescent="0.25">
      <c r="A4772">
        <v>516</v>
      </c>
    </row>
    <row r="4773" spans="1:1" x14ac:dyDescent="0.25">
      <c r="A4773" t="s">
        <v>1512</v>
      </c>
    </row>
    <row r="4774" spans="1:1" x14ac:dyDescent="0.25">
      <c r="A4774" t="s">
        <v>452</v>
      </c>
    </row>
    <row r="4775" spans="1:1" x14ac:dyDescent="0.25">
      <c r="A4775" t="s">
        <v>809</v>
      </c>
    </row>
    <row r="4776" spans="1:1" x14ac:dyDescent="0.25">
      <c r="A4776">
        <v>2350</v>
      </c>
    </row>
    <row r="4777" spans="1:1" x14ac:dyDescent="0.25">
      <c r="A4777">
        <v>206</v>
      </c>
    </row>
    <row r="4778" spans="1:1" x14ac:dyDescent="0.25">
      <c r="A4778">
        <v>133</v>
      </c>
    </row>
    <row r="4779" spans="1:1" x14ac:dyDescent="0.25">
      <c r="A4779">
        <v>181</v>
      </c>
    </row>
    <row r="4780" spans="1:1" x14ac:dyDescent="0.25">
      <c r="A4780">
        <v>5</v>
      </c>
    </row>
    <row r="4781" spans="1:1" x14ac:dyDescent="0.25">
      <c r="A4781">
        <v>517</v>
      </c>
    </row>
    <row r="4782" spans="1:1" x14ac:dyDescent="0.25">
      <c r="A4782" t="s">
        <v>1513</v>
      </c>
    </row>
    <row r="4783" spans="1:1" x14ac:dyDescent="0.25">
      <c r="A4783" t="s">
        <v>702</v>
      </c>
    </row>
    <row r="4784" spans="1:1" x14ac:dyDescent="0.25">
      <c r="A4784" t="s">
        <v>910</v>
      </c>
    </row>
    <row r="4785" spans="1:1" x14ac:dyDescent="0.25">
      <c r="A4785">
        <v>1145</v>
      </c>
    </row>
    <row r="4786" spans="1:1" x14ac:dyDescent="0.25">
      <c r="A4786">
        <v>111</v>
      </c>
    </row>
    <row r="4787" spans="1:1" x14ac:dyDescent="0.25">
      <c r="A4787">
        <v>92</v>
      </c>
    </row>
    <row r="4788" spans="1:1" x14ac:dyDescent="0.25">
      <c r="A4788">
        <v>183</v>
      </c>
    </row>
    <row r="4789" spans="1:1" x14ac:dyDescent="0.25">
      <c r="A4789">
        <v>5</v>
      </c>
    </row>
    <row r="4790" spans="1:1" x14ac:dyDescent="0.25">
      <c r="A4790">
        <v>518</v>
      </c>
    </row>
    <row r="4791" spans="1:1" x14ac:dyDescent="0.25">
      <c r="A4791" t="s">
        <v>1514</v>
      </c>
    </row>
    <row r="4792" spans="1:1" x14ac:dyDescent="0.25">
      <c r="A4792" t="s">
        <v>703</v>
      </c>
    </row>
    <row r="4793" spans="1:1" x14ac:dyDescent="0.25">
      <c r="A4793" t="s">
        <v>910</v>
      </c>
    </row>
    <row r="4794" spans="1:1" x14ac:dyDescent="0.25">
      <c r="A4794">
        <v>2723</v>
      </c>
    </row>
    <row r="4795" spans="1:1" x14ac:dyDescent="0.25">
      <c r="A4795">
        <v>183</v>
      </c>
    </row>
    <row r="4796" spans="1:1" x14ac:dyDescent="0.25">
      <c r="A4796">
        <v>166</v>
      </c>
    </row>
    <row r="4797" spans="1:1" x14ac:dyDescent="0.25">
      <c r="A4797">
        <v>253</v>
      </c>
    </row>
    <row r="4798" spans="1:1" x14ac:dyDescent="0.25">
      <c r="A4798">
        <v>5</v>
      </c>
    </row>
    <row r="4799" spans="1:1" x14ac:dyDescent="0.25">
      <c r="A4799">
        <v>519</v>
      </c>
    </row>
    <row r="4800" spans="1:1" x14ac:dyDescent="0.25">
      <c r="A4800" t="s">
        <v>1515</v>
      </c>
    </row>
    <row r="4801" spans="1:1" x14ac:dyDescent="0.25">
      <c r="A4801" t="s">
        <v>176</v>
      </c>
    </row>
    <row r="4802" spans="1:1" x14ac:dyDescent="0.25">
      <c r="A4802" t="s">
        <v>822</v>
      </c>
    </row>
    <row r="4803" spans="1:1" x14ac:dyDescent="0.25">
      <c r="A4803">
        <v>848</v>
      </c>
    </row>
    <row r="4804" spans="1:1" x14ac:dyDescent="0.25">
      <c r="A4804">
        <v>98</v>
      </c>
    </row>
    <row r="4805" spans="1:1" x14ac:dyDescent="0.25">
      <c r="A4805">
        <v>80</v>
      </c>
    </row>
    <row r="4806" spans="1:1" x14ac:dyDescent="0.25">
      <c r="A4806">
        <v>137</v>
      </c>
    </row>
    <row r="4807" spans="1:1" x14ac:dyDescent="0.25">
      <c r="A4807">
        <v>5</v>
      </c>
    </row>
    <row r="4808" spans="1:1" x14ac:dyDescent="0.25">
      <c r="A4808">
        <v>520</v>
      </c>
    </row>
    <row r="4809" spans="1:1" x14ac:dyDescent="0.25">
      <c r="A4809" t="s">
        <v>1516</v>
      </c>
    </row>
    <row r="4810" spans="1:1" x14ac:dyDescent="0.25">
      <c r="A4810" t="s">
        <v>682</v>
      </c>
    </row>
    <row r="4811" spans="1:1" x14ac:dyDescent="0.25">
      <c r="A4811" t="s">
        <v>822</v>
      </c>
    </row>
    <row r="4812" spans="1:1" x14ac:dyDescent="0.25">
      <c r="A4812">
        <v>1442</v>
      </c>
    </row>
    <row r="4813" spans="1:1" x14ac:dyDescent="0.25">
      <c r="A4813">
        <v>144</v>
      </c>
    </row>
    <row r="4814" spans="1:1" x14ac:dyDescent="0.25">
      <c r="A4814">
        <v>107</v>
      </c>
    </row>
    <row r="4815" spans="1:1" x14ac:dyDescent="0.25">
      <c r="A4815">
        <v>158</v>
      </c>
    </row>
    <row r="4816" spans="1:1" x14ac:dyDescent="0.25">
      <c r="A4816">
        <v>5</v>
      </c>
    </row>
    <row r="4817" spans="1:1" x14ac:dyDescent="0.25">
      <c r="A4817">
        <v>521</v>
      </c>
    </row>
    <row r="4818" spans="1:1" x14ac:dyDescent="0.25">
      <c r="A4818" t="s">
        <v>1517</v>
      </c>
    </row>
    <row r="4819" spans="1:1" x14ac:dyDescent="0.25">
      <c r="A4819" t="s">
        <v>177</v>
      </c>
    </row>
    <row r="4820" spans="1:1" x14ac:dyDescent="0.25">
      <c r="A4820" t="s">
        <v>822</v>
      </c>
    </row>
    <row r="4821" spans="1:1" x14ac:dyDescent="0.25">
      <c r="A4821">
        <v>2734</v>
      </c>
    </row>
    <row r="4822" spans="1:1" x14ac:dyDescent="0.25">
      <c r="A4822">
        <v>226</v>
      </c>
    </row>
    <row r="4823" spans="1:1" x14ac:dyDescent="0.25">
      <c r="A4823">
        <v>146</v>
      </c>
    </row>
    <row r="4824" spans="1:1" x14ac:dyDescent="0.25">
      <c r="A4824">
        <v>190</v>
      </c>
    </row>
    <row r="4825" spans="1:1" x14ac:dyDescent="0.25">
      <c r="A4825">
        <v>5</v>
      </c>
    </row>
    <row r="4826" spans="1:1" x14ac:dyDescent="0.25">
      <c r="A4826">
        <v>522</v>
      </c>
    </row>
    <row r="4827" spans="1:1" x14ac:dyDescent="0.25">
      <c r="A4827" t="s">
        <v>1518</v>
      </c>
    </row>
    <row r="4828" spans="1:1" x14ac:dyDescent="0.25">
      <c r="A4828" t="s">
        <v>453</v>
      </c>
    </row>
    <row r="4829" spans="1:1" x14ac:dyDescent="0.25">
      <c r="A4829" t="s">
        <v>839</v>
      </c>
    </row>
    <row r="4830" spans="1:1" x14ac:dyDescent="0.25">
      <c r="A4830">
        <v>882</v>
      </c>
    </row>
    <row r="4831" spans="1:1" x14ac:dyDescent="0.25">
      <c r="A4831">
        <v>118</v>
      </c>
    </row>
    <row r="4832" spans="1:1" x14ac:dyDescent="0.25">
      <c r="A4832">
        <v>64</v>
      </c>
    </row>
    <row r="4833" spans="1:1" x14ac:dyDescent="0.25">
      <c r="A4833">
        <v>128</v>
      </c>
    </row>
    <row r="4834" spans="1:1" x14ac:dyDescent="0.25">
      <c r="A4834">
        <v>5</v>
      </c>
    </row>
    <row r="4835" spans="1:1" x14ac:dyDescent="0.25">
      <c r="A4835">
        <v>523</v>
      </c>
    </row>
    <row r="4836" spans="1:1" x14ac:dyDescent="0.25">
      <c r="A4836" t="s">
        <v>1519</v>
      </c>
    </row>
    <row r="4837" spans="1:1" x14ac:dyDescent="0.25">
      <c r="A4837" t="s">
        <v>454</v>
      </c>
    </row>
    <row r="4838" spans="1:1" x14ac:dyDescent="0.25">
      <c r="A4838" t="s">
        <v>839</v>
      </c>
    </row>
    <row r="4839" spans="1:1" x14ac:dyDescent="0.25">
      <c r="A4839">
        <v>2428</v>
      </c>
    </row>
    <row r="4840" spans="1:1" x14ac:dyDescent="0.25">
      <c r="A4840">
        <v>211</v>
      </c>
    </row>
    <row r="4841" spans="1:1" x14ac:dyDescent="0.25">
      <c r="A4841">
        <v>136</v>
      </c>
    </row>
    <row r="4842" spans="1:1" x14ac:dyDescent="0.25">
      <c r="A4842">
        <v>181</v>
      </c>
    </row>
    <row r="4843" spans="1:1" x14ac:dyDescent="0.25">
      <c r="A4843">
        <v>5</v>
      </c>
    </row>
    <row r="4844" spans="1:1" x14ac:dyDescent="0.25">
      <c r="A4844">
        <v>524</v>
      </c>
    </row>
    <row r="4845" spans="1:1" x14ac:dyDescent="0.25">
      <c r="A4845" t="s">
        <v>1520</v>
      </c>
    </row>
    <row r="4846" spans="1:1" x14ac:dyDescent="0.25">
      <c r="A4846" t="s">
        <v>455</v>
      </c>
    </row>
    <row r="4847" spans="1:1" x14ac:dyDescent="0.25">
      <c r="A4847" t="s">
        <v>1076</v>
      </c>
    </row>
    <row r="4848" spans="1:1" x14ac:dyDescent="0.25">
      <c r="A4848">
        <v>1205</v>
      </c>
    </row>
    <row r="4849" spans="1:1" x14ac:dyDescent="0.25">
      <c r="A4849">
        <v>121</v>
      </c>
    </row>
    <row r="4850" spans="1:1" x14ac:dyDescent="0.25">
      <c r="A4850">
        <v>110</v>
      </c>
    </row>
    <row r="4851" spans="1:1" x14ac:dyDescent="0.25">
      <c r="A4851">
        <v>146</v>
      </c>
    </row>
    <row r="4852" spans="1:1" x14ac:dyDescent="0.25">
      <c r="A4852">
        <v>5</v>
      </c>
    </row>
    <row r="4853" spans="1:1" x14ac:dyDescent="0.25">
      <c r="A4853">
        <v>525</v>
      </c>
    </row>
    <row r="4854" spans="1:1" x14ac:dyDescent="0.25">
      <c r="A4854" t="s">
        <v>1521</v>
      </c>
    </row>
    <row r="4855" spans="1:1" x14ac:dyDescent="0.25">
      <c r="A4855" t="s">
        <v>456</v>
      </c>
    </row>
    <row r="4856" spans="1:1" x14ac:dyDescent="0.25">
      <c r="A4856" t="s">
        <v>1076</v>
      </c>
    </row>
    <row r="4857" spans="1:1" x14ac:dyDescent="0.25">
      <c r="A4857">
        <v>2029</v>
      </c>
    </row>
    <row r="4858" spans="1:1" x14ac:dyDescent="0.25">
      <c r="A4858">
        <v>174</v>
      </c>
    </row>
    <row r="4859" spans="1:1" x14ac:dyDescent="0.25">
      <c r="A4859">
        <v>143</v>
      </c>
    </row>
    <row r="4860" spans="1:1" x14ac:dyDescent="0.25">
      <c r="A4860">
        <v>172</v>
      </c>
    </row>
    <row r="4861" spans="1:1" x14ac:dyDescent="0.25">
      <c r="A4861">
        <v>5</v>
      </c>
    </row>
    <row r="4862" spans="1:1" x14ac:dyDescent="0.25">
      <c r="A4862">
        <v>526</v>
      </c>
    </row>
    <row r="4863" spans="1:1" x14ac:dyDescent="0.25">
      <c r="A4863" t="s">
        <v>1522</v>
      </c>
    </row>
    <row r="4864" spans="1:1" x14ac:dyDescent="0.25">
      <c r="A4864" t="s">
        <v>457</v>
      </c>
    </row>
    <row r="4865" spans="1:1" x14ac:dyDescent="0.25">
      <c r="A4865" t="s">
        <v>1076</v>
      </c>
    </row>
    <row r="4866" spans="1:1" x14ac:dyDescent="0.25">
      <c r="A4866">
        <v>3228</v>
      </c>
    </row>
    <row r="4867" spans="1:1" x14ac:dyDescent="0.25">
      <c r="A4867">
        <v>226</v>
      </c>
    </row>
    <row r="4868" spans="1:1" x14ac:dyDescent="0.25">
      <c r="A4868">
        <v>201</v>
      </c>
    </row>
    <row r="4869" spans="1:1" x14ac:dyDescent="0.25">
      <c r="A4869">
        <v>198</v>
      </c>
    </row>
    <row r="4870" spans="1:1" x14ac:dyDescent="0.25">
      <c r="A4870">
        <v>5</v>
      </c>
    </row>
    <row r="4871" spans="1:1" x14ac:dyDescent="0.25">
      <c r="A4871">
        <v>527</v>
      </c>
    </row>
    <row r="4872" spans="1:1" x14ac:dyDescent="0.25">
      <c r="A4872" t="s">
        <v>1523</v>
      </c>
    </row>
    <row r="4873" spans="1:1" x14ac:dyDescent="0.25">
      <c r="A4873" t="s">
        <v>178</v>
      </c>
    </row>
    <row r="4874" spans="1:1" x14ac:dyDescent="0.25">
      <c r="A4874" t="s">
        <v>1066</v>
      </c>
    </row>
    <row r="4875" spans="1:1" x14ac:dyDescent="0.25">
      <c r="A4875">
        <v>1016</v>
      </c>
    </row>
    <row r="4876" spans="1:1" x14ac:dyDescent="0.25">
      <c r="A4876">
        <v>107</v>
      </c>
    </row>
    <row r="4877" spans="1:1" x14ac:dyDescent="0.25">
      <c r="A4877">
        <v>85</v>
      </c>
    </row>
    <row r="4878" spans="1:1" x14ac:dyDescent="0.25">
      <c r="A4878">
        <v>163</v>
      </c>
    </row>
    <row r="4879" spans="1:1" x14ac:dyDescent="0.25">
      <c r="A4879">
        <v>5</v>
      </c>
    </row>
    <row r="4880" spans="1:1" x14ac:dyDescent="0.25">
      <c r="A4880">
        <v>528</v>
      </c>
    </row>
    <row r="4881" spans="1:1" x14ac:dyDescent="0.25">
      <c r="A4881" t="s">
        <v>1524</v>
      </c>
    </row>
    <row r="4882" spans="1:1" x14ac:dyDescent="0.25">
      <c r="A4882" t="s">
        <v>683</v>
      </c>
    </row>
    <row r="4883" spans="1:1" x14ac:dyDescent="0.25">
      <c r="A4883" t="s">
        <v>1066</v>
      </c>
    </row>
    <row r="4884" spans="1:1" x14ac:dyDescent="0.25">
      <c r="A4884">
        <v>1716</v>
      </c>
    </row>
    <row r="4885" spans="1:1" x14ac:dyDescent="0.25">
      <c r="A4885">
        <v>161</v>
      </c>
    </row>
    <row r="4886" spans="1:1" x14ac:dyDescent="0.25">
      <c r="A4886">
        <v>119</v>
      </c>
    </row>
    <row r="4887" spans="1:1" x14ac:dyDescent="0.25">
      <c r="A4887">
        <v>167</v>
      </c>
    </row>
    <row r="4888" spans="1:1" x14ac:dyDescent="0.25">
      <c r="A4888">
        <v>5</v>
      </c>
    </row>
    <row r="4889" spans="1:1" x14ac:dyDescent="0.25">
      <c r="A4889">
        <v>529</v>
      </c>
    </row>
    <row r="4890" spans="1:1" x14ac:dyDescent="0.25">
      <c r="A4890" t="s">
        <v>1525</v>
      </c>
    </row>
    <row r="4891" spans="1:1" x14ac:dyDescent="0.25">
      <c r="A4891" t="s">
        <v>458</v>
      </c>
    </row>
    <row r="4892" spans="1:1" x14ac:dyDescent="0.25">
      <c r="A4892" t="s">
        <v>845</v>
      </c>
    </row>
    <row r="4893" spans="1:1" x14ac:dyDescent="0.25">
      <c r="A4893">
        <v>1376</v>
      </c>
    </row>
    <row r="4894" spans="1:1" x14ac:dyDescent="0.25">
      <c r="A4894">
        <v>154</v>
      </c>
    </row>
    <row r="4895" spans="1:1" x14ac:dyDescent="0.25">
      <c r="A4895">
        <v>85</v>
      </c>
    </row>
    <row r="4896" spans="1:1" x14ac:dyDescent="0.25">
      <c r="A4896">
        <v>155</v>
      </c>
    </row>
    <row r="4897" spans="1:1" x14ac:dyDescent="0.25">
      <c r="A4897">
        <v>5</v>
      </c>
    </row>
    <row r="4898" spans="1:1" x14ac:dyDescent="0.25">
      <c r="A4898">
        <v>530</v>
      </c>
    </row>
    <row r="4899" spans="1:1" x14ac:dyDescent="0.25">
      <c r="A4899" t="s">
        <v>1526</v>
      </c>
    </row>
    <row r="4900" spans="1:1" x14ac:dyDescent="0.25">
      <c r="A4900" t="s">
        <v>459</v>
      </c>
    </row>
    <row r="4901" spans="1:1" x14ac:dyDescent="0.25">
      <c r="A4901" t="s">
        <v>887</v>
      </c>
    </row>
    <row r="4902" spans="1:1" x14ac:dyDescent="0.25">
      <c r="A4902">
        <v>3244</v>
      </c>
    </row>
    <row r="4903" spans="1:1" x14ac:dyDescent="0.25">
      <c r="A4903">
        <v>255</v>
      </c>
    </row>
    <row r="4904" spans="1:1" x14ac:dyDescent="0.25">
      <c r="A4904">
        <v>129</v>
      </c>
    </row>
    <row r="4905" spans="1:1" x14ac:dyDescent="0.25">
      <c r="A4905">
        <v>242</v>
      </c>
    </row>
    <row r="4906" spans="1:1" x14ac:dyDescent="0.25">
      <c r="A4906">
        <v>5</v>
      </c>
    </row>
    <row r="4907" spans="1:1" x14ac:dyDescent="0.25">
      <c r="A4907">
        <v>531</v>
      </c>
    </row>
    <row r="4908" spans="1:1" x14ac:dyDescent="0.25">
      <c r="A4908" t="s">
        <v>1527</v>
      </c>
    </row>
    <row r="4909" spans="1:1" x14ac:dyDescent="0.25">
      <c r="A4909" t="s">
        <v>596</v>
      </c>
    </row>
    <row r="4910" spans="1:1" x14ac:dyDescent="0.25">
      <c r="A4910" t="s">
        <v>826</v>
      </c>
    </row>
    <row r="4911" spans="1:1" x14ac:dyDescent="0.25">
      <c r="A4911">
        <v>1682</v>
      </c>
    </row>
    <row r="4912" spans="1:1" x14ac:dyDescent="0.25">
      <c r="A4912">
        <v>114</v>
      </c>
    </row>
    <row r="4913" spans="1:1" x14ac:dyDescent="0.25">
      <c r="A4913">
        <v>163</v>
      </c>
    </row>
    <row r="4914" spans="1:1" x14ac:dyDescent="0.25">
      <c r="A4914">
        <v>230</v>
      </c>
    </row>
    <row r="4915" spans="1:1" x14ac:dyDescent="0.25">
      <c r="A4915">
        <v>5</v>
      </c>
    </row>
    <row r="4916" spans="1:1" x14ac:dyDescent="0.25">
      <c r="A4916">
        <v>532</v>
      </c>
    </row>
    <row r="4917" spans="1:1" x14ac:dyDescent="0.25">
      <c r="A4917" t="s">
        <v>1528</v>
      </c>
    </row>
    <row r="4918" spans="1:1" x14ac:dyDescent="0.25">
      <c r="A4918" t="s">
        <v>597</v>
      </c>
    </row>
    <row r="4919" spans="1:1" x14ac:dyDescent="0.25">
      <c r="A4919" t="s">
        <v>901</v>
      </c>
    </row>
    <row r="4920" spans="1:1" x14ac:dyDescent="0.25">
      <c r="A4920">
        <v>1315</v>
      </c>
    </row>
    <row r="4921" spans="1:1" x14ac:dyDescent="0.25">
      <c r="A4921">
        <v>134</v>
      </c>
    </row>
    <row r="4922" spans="1:1" x14ac:dyDescent="0.25">
      <c r="A4922">
        <v>87</v>
      </c>
    </row>
    <row r="4923" spans="1:1" x14ac:dyDescent="0.25">
      <c r="A4923">
        <v>181</v>
      </c>
    </row>
    <row r="4924" spans="1:1" x14ac:dyDescent="0.25">
      <c r="A4924">
        <v>5</v>
      </c>
    </row>
    <row r="4925" spans="1:1" x14ac:dyDescent="0.25">
      <c r="A4925">
        <v>533</v>
      </c>
    </row>
    <row r="4926" spans="1:1" x14ac:dyDescent="0.25">
      <c r="A4926" t="s">
        <v>1529</v>
      </c>
    </row>
    <row r="4927" spans="1:1" x14ac:dyDescent="0.25">
      <c r="A4927" t="s">
        <v>598</v>
      </c>
    </row>
    <row r="4928" spans="1:1" x14ac:dyDescent="0.25">
      <c r="A4928" t="s">
        <v>901</v>
      </c>
    </row>
    <row r="4929" spans="1:1" x14ac:dyDescent="0.25">
      <c r="A4929">
        <v>2169</v>
      </c>
    </row>
    <row r="4930" spans="1:1" x14ac:dyDescent="0.25">
      <c r="A4930">
        <v>180</v>
      </c>
    </row>
    <row r="4931" spans="1:1" x14ac:dyDescent="0.25">
      <c r="A4931">
        <v>134</v>
      </c>
    </row>
    <row r="4932" spans="1:1" x14ac:dyDescent="0.25">
      <c r="A4932">
        <v>198</v>
      </c>
    </row>
    <row r="4933" spans="1:1" x14ac:dyDescent="0.25">
      <c r="A4933">
        <v>5</v>
      </c>
    </row>
    <row r="4934" spans="1:1" x14ac:dyDescent="0.25">
      <c r="A4934">
        <v>534</v>
      </c>
    </row>
    <row r="4935" spans="1:1" x14ac:dyDescent="0.25">
      <c r="A4935" t="s">
        <v>1530</v>
      </c>
    </row>
    <row r="4936" spans="1:1" x14ac:dyDescent="0.25">
      <c r="A4936" t="s">
        <v>599</v>
      </c>
    </row>
    <row r="4937" spans="1:1" x14ac:dyDescent="0.25">
      <c r="A4937" t="s">
        <v>901</v>
      </c>
    </row>
    <row r="4938" spans="1:1" x14ac:dyDescent="0.25">
      <c r="A4938">
        <v>3337</v>
      </c>
    </row>
    <row r="4939" spans="1:1" x14ac:dyDescent="0.25">
      <c r="A4939">
        <v>243</v>
      </c>
    </row>
    <row r="4940" spans="1:1" x14ac:dyDescent="0.25">
      <c r="A4940">
        <v>158</v>
      </c>
    </row>
    <row r="4941" spans="1:1" x14ac:dyDescent="0.25">
      <c r="A4941">
        <v>233</v>
      </c>
    </row>
    <row r="4942" spans="1:1" x14ac:dyDescent="0.25">
      <c r="A4942">
        <v>5</v>
      </c>
    </row>
    <row r="4943" spans="1:1" x14ac:dyDescent="0.25">
      <c r="A4943">
        <v>535</v>
      </c>
    </row>
    <row r="4944" spans="1:1" x14ac:dyDescent="0.25">
      <c r="A4944" t="s">
        <v>1531</v>
      </c>
    </row>
    <row r="4945" spans="1:1" x14ac:dyDescent="0.25">
      <c r="A4945" t="s">
        <v>460</v>
      </c>
    </row>
    <row r="4946" spans="1:1" x14ac:dyDescent="0.25">
      <c r="A4946" t="s">
        <v>809</v>
      </c>
    </row>
    <row r="4947" spans="1:1" x14ac:dyDescent="0.25">
      <c r="A4947">
        <v>839</v>
      </c>
    </row>
    <row r="4948" spans="1:1" x14ac:dyDescent="0.25">
      <c r="A4948">
        <v>98</v>
      </c>
    </row>
    <row r="4949" spans="1:1" x14ac:dyDescent="0.25">
      <c r="A4949">
        <v>78</v>
      </c>
    </row>
    <row r="4950" spans="1:1" x14ac:dyDescent="0.25">
      <c r="A4950">
        <v>137</v>
      </c>
    </row>
    <row r="4951" spans="1:1" x14ac:dyDescent="0.25">
      <c r="A4951">
        <v>5</v>
      </c>
    </row>
    <row r="4952" spans="1:1" x14ac:dyDescent="0.25">
      <c r="A4952">
        <v>536</v>
      </c>
    </row>
    <row r="4953" spans="1:1" x14ac:dyDescent="0.25">
      <c r="A4953" t="s">
        <v>1532</v>
      </c>
    </row>
    <row r="4954" spans="1:1" x14ac:dyDescent="0.25">
      <c r="A4954" t="s">
        <v>461</v>
      </c>
    </row>
    <row r="4955" spans="1:1" x14ac:dyDescent="0.25">
      <c r="A4955" t="s">
        <v>1087</v>
      </c>
    </row>
    <row r="4956" spans="1:1" x14ac:dyDescent="0.25">
      <c r="A4956">
        <v>1392</v>
      </c>
    </row>
    <row r="4957" spans="1:1" x14ac:dyDescent="0.25">
      <c r="A4957">
        <v>128</v>
      </c>
    </row>
    <row r="4958" spans="1:1" x14ac:dyDescent="0.25">
      <c r="A4958">
        <v>109</v>
      </c>
    </row>
    <row r="4959" spans="1:1" x14ac:dyDescent="0.25">
      <c r="A4959">
        <v>181</v>
      </c>
    </row>
    <row r="4960" spans="1:1" x14ac:dyDescent="0.25">
      <c r="A4960">
        <v>5</v>
      </c>
    </row>
    <row r="4961" spans="1:1" x14ac:dyDescent="0.25">
      <c r="A4961">
        <v>537</v>
      </c>
    </row>
    <row r="4962" spans="1:1" x14ac:dyDescent="0.25">
      <c r="A4962" t="s">
        <v>1533</v>
      </c>
    </row>
    <row r="4963" spans="1:1" x14ac:dyDescent="0.25">
      <c r="A4963" t="s">
        <v>462</v>
      </c>
    </row>
    <row r="4964" spans="1:1" x14ac:dyDescent="0.25">
      <c r="A4964" t="s">
        <v>1087</v>
      </c>
    </row>
    <row r="4965" spans="1:1" x14ac:dyDescent="0.25">
      <c r="A4965">
        <v>2564</v>
      </c>
    </row>
    <row r="4966" spans="1:1" x14ac:dyDescent="0.25">
      <c r="A4966">
        <v>188</v>
      </c>
    </row>
    <row r="4967" spans="1:1" x14ac:dyDescent="0.25">
      <c r="A4967">
        <v>150</v>
      </c>
    </row>
    <row r="4968" spans="1:1" x14ac:dyDescent="0.25">
      <c r="A4968">
        <v>233</v>
      </c>
    </row>
    <row r="4969" spans="1:1" x14ac:dyDescent="0.25">
      <c r="A4969">
        <v>5</v>
      </c>
    </row>
    <row r="4970" spans="1:1" x14ac:dyDescent="0.25">
      <c r="A4970">
        <v>538</v>
      </c>
    </row>
    <row r="4971" spans="1:1" x14ac:dyDescent="0.25">
      <c r="A4971" t="s">
        <v>1534</v>
      </c>
    </row>
    <row r="4972" spans="1:1" x14ac:dyDescent="0.25">
      <c r="A4972" t="s">
        <v>600</v>
      </c>
    </row>
    <row r="4973" spans="1:1" x14ac:dyDescent="0.25">
      <c r="A4973" t="s">
        <v>901</v>
      </c>
    </row>
    <row r="4974" spans="1:1" x14ac:dyDescent="0.25">
      <c r="A4974">
        <v>2562</v>
      </c>
    </row>
    <row r="4975" spans="1:1" x14ac:dyDescent="0.25">
      <c r="A4975">
        <v>172</v>
      </c>
    </row>
    <row r="4976" spans="1:1" x14ac:dyDescent="0.25">
      <c r="A4976">
        <v>160</v>
      </c>
    </row>
    <row r="4977" spans="1:1" x14ac:dyDescent="0.25">
      <c r="A4977">
        <v>260</v>
      </c>
    </row>
    <row r="4978" spans="1:1" x14ac:dyDescent="0.25">
      <c r="A4978">
        <v>5</v>
      </c>
    </row>
    <row r="4979" spans="1:1" x14ac:dyDescent="0.25">
      <c r="A4979">
        <v>539</v>
      </c>
    </row>
    <row r="4980" spans="1:1" x14ac:dyDescent="0.25">
      <c r="A4980" t="s">
        <v>1535</v>
      </c>
    </row>
    <row r="4981" spans="1:1" x14ac:dyDescent="0.25">
      <c r="A4981" t="s">
        <v>601</v>
      </c>
    </row>
    <row r="4982" spans="1:1" x14ac:dyDescent="0.25">
      <c r="A4982" t="s">
        <v>901</v>
      </c>
    </row>
    <row r="4983" spans="1:1" x14ac:dyDescent="0.25">
      <c r="A4983">
        <v>2788</v>
      </c>
    </row>
    <row r="4984" spans="1:1" x14ac:dyDescent="0.25">
      <c r="A4984">
        <v>231</v>
      </c>
    </row>
    <row r="4985" spans="1:1" x14ac:dyDescent="0.25">
      <c r="A4985">
        <v>153</v>
      </c>
    </row>
    <row r="4986" spans="1:1" x14ac:dyDescent="0.25">
      <c r="A4986">
        <v>181</v>
      </c>
    </row>
    <row r="4987" spans="1:1" x14ac:dyDescent="0.25">
      <c r="A4987">
        <v>5</v>
      </c>
    </row>
    <row r="4988" spans="1:1" x14ac:dyDescent="0.25">
      <c r="A4988">
        <v>540</v>
      </c>
    </row>
    <row r="4989" spans="1:1" x14ac:dyDescent="0.25">
      <c r="A4989" t="s">
        <v>1536</v>
      </c>
    </row>
    <row r="4990" spans="1:1" x14ac:dyDescent="0.25">
      <c r="A4990" t="s">
        <v>684</v>
      </c>
    </row>
    <row r="4991" spans="1:1" x14ac:dyDescent="0.25">
      <c r="A4991" t="s">
        <v>880</v>
      </c>
    </row>
    <row r="4992" spans="1:1" x14ac:dyDescent="0.25">
      <c r="A4992">
        <v>977</v>
      </c>
    </row>
    <row r="4993" spans="1:1" x14ac:dyDescent="0.25">
      <c r="A4993">
        <v>96</v>
      </c>
    </row>
    <row r="4994" spans="1:1" x14ac:dyDescent="0.25">
      <c r="A4994">
        <v>124</v>
      </c>
    </row>
    <row r="4995" spans="1:1" x14ac:dyDescent="0.25">
      <c r="A4995">
        <v>128</v>
      </c>
    </row>
    <row r="4996" spans="1:1" x14ac:dyDescent="0.25">
      <c r="A4996">
        <v>5</v>
      </c>
    </row>
    <row r="4997" spans="1:1" x14ac:dyDescent="0.25">
      <c r="A4997">
        <v>541</v>
      </c>
    </row>
    <row r="4998" spans="1:1" x14ac:dyDescent="0.25">
      <c r="A4998" t="s">
        <v>1537</v>
      </c>
    </row>
    <row r="4999" spans="1:1" x14ac:dyDescent="0.25">
      <c r="A4999" t="s">
        <v>685</v>
      </c>
    </row>
    <row r="5000" spans="1:1" x14ac:dyDescent="0.25">
      <c r="A5000" t="s">
        <v>880</v>
      </c>
    </row>
    <row r="5001" spans="1:1" x14ac:dyDescent="0.25">
      <c r="A5001">
        <v>1370</v>
      </c>
    </row>
    <row r="5002" spans="1:1" x14ac:dyDescent="0.25">
      <c r="A5002">
        <v>115</v>
      </c>
    </row>
    <row r="5003" spans="1:1" x14ac:dyDescent="0.25">
      <c r="A5003">
        <v>162</v>
      </c>
    </row>
    <row r="5004" spans="1:1" x14ac:dyDescent="0.25">
      <c r="A5004">
        <v>146</v>
      </c>
    </row>
    <row r="5005" spans="1:1" x14ac:dyDescent="0.25">
      <c r="A5005">
        <v>5</v>
      </c>
    </row>
    <row r="5006" spans="1:1" x14ac:dyDescent="0.25">
      <c r="A5006">
        <v>542</v>
      </c>
    </row>
    <row r="5007" spans="1:1" x14ac:dyDescent="0.25">
      <c r="A5007" t="s">
        <v>1538</v>
      </c>
    </row>
    <row r="5008" spans="1:1" x14ac:dyDescent="0.25">
      <c r="A5008" t="s">
        <v>686</v>
      </c>
    </row>
    <row r="5009" spans="1:1" x14ac:dyDescent="0.25">
      <c r="A5009" t="s">
        <v>880</v>
      </c>
    </row>
    <row r="5010" spans="1:1" x14ac:dyDescent="0.25">
      <c r="A5010">
        <v>2580</v>
      </c>
    </row>
    <row r="5011" spans="1:1" x14ac:dyDescent="0.25">
      <c r="A5011">
        <v>205</v>
      </c>
    </row>
    <row r="5012" spans="1:1" x14ac:dyDescent="0.25">
      <c r="A5012">
        <v>165</v>
      </c>
    </row>
    <row r="5013" spans="1:1" x14ac:dyDescent="0.25">
      <c r="A5013">
        <v>181</v>
      </c>
    </row>
    <row r="5014" spans="1:1" x14ac:dyDescent="0.25">
      <c r="A5014">
        <v>5</v>
      </c>
    </row>
    <row r="5015" spans="1:1" x14ac:dyDescent="0.25">
      <c r="A5015">
        <v>543</v>
      </c>
    </row>
    <row r="5016" spans="1:1" x14ac:dyDescent="0.25">
      <c r="A5016" t="s">
        <v>1539</v>
      </c>
    </row>
    <row r="5017" spans="1:1" x14ac:dyDescent="0.25">
      <c r="A5017" t="s">
        <v>179</v>
      </c>
    </row>
    <row r="5018" spans="1:1" x14ac:dyDescent="0.25">
      <c r="A5018" t="s">
        <v>818</v>
      </c>
    </row>
    <row r="5019" spans="1:1" x14ac:dyDescent="0.25">
      <c r="A5019">
        <v>706</v>
      </c>
    </row>
    <row r="5020" spans="1:1" x14ac:dyDescent="0.25">
      <c r="A5020">
        <v>83</v>
      </c>
    </row>
    <row r="5021" spans="1:1" x14ac:dyDescent="0.25">
      <c r="A5021">
        <v>99</v>
      </c>
    </row>
    <row r="5022" spans="1:1" x14ac:dyDescent="0.25">
      <c r="A5022">
        <v>102</v>
      </c>
    </row>
    <row r="5023" spans="1:1" x14ac:dyDescent="0.25">
      <c r="A5023">
        <v>5</v>
      </c>
    </row>
    <row r="5024" spans="1:1" x14ac:dyDescent="0.25">
      <c r="A5024">
        <v>544</v>
      </c>
    </row>
    <row r="5025" spans="1:1" x14ac:dyDescent="0.25">
      <c r="A5025" t="s">
        <v>1540</v>
      </c>
    </row>
    <row r="5026" spans="1:1" x14ac:dyDescent="0.25">
      <c r="A5026" t="s">
        <v>180</v>
      </c>
    </row>
    <row r="5027" spans="1:1" x14ac:dyDescent="0.25">
      <c r="A5027" t="s">
        <v>818</v>
      </c>
    </row>
    <row r="5028" spans="1:1" x14ac:dyDescent="0.25">
      <c r="A5028">
        <v>1144</v>
      </c>
    </row>
    <row r="5029" spans="1:1" x14ac:dyDescent="0.25">
      <c r="A5029">
        <v>100</v>
      </c>
    </row>
    <row r="5030" spans="1:1" x14ac:dyDescent="0.25">
      <c r="A5030">
        <v>173</v>
      </c>
    </row>
    <row r="5031" spans="1:1" x14ac:dyDescent="0.25">
      <c r="A5031">
        <v>120</v>
      </c>
    </row>
    <row r="5032" spans="1:1" x14ac:dyDescent="0.25">
      <c r="A5032">
        <v>5</v>
      </c>
    </row>
    <row r="5033" spans="1:1" x14ac:dyDescent="0.25">
      <c r="A5033">
        <v>545</v>
      </c>
    </row>
    <row r="5034" spans="1:1" x14ac:dyDescent="0.25">
      <c r="A5034" t="s">
        <v>1541</v>
      </c>
    </row>
    <row r="5035" spans="1:1" x14ac:dyDescent="0.25">
      <c r="A5035" t="s">
        <v>181</v>
      </c>
    </row>
    <row r="5036" spans="1:1" x14ac:dyDescent="0.25">
      <c r="A5036" t="s">
        <v>818</v>
      </c>
    </row>
    <row r="5037" spans="1:1" x14ac:dyDescent="0.25">
      <c r="A5037">
        <v>2447</v>
      </c>
    </row>
    <row r="5038" spans="1:1" x14ac:dyDescent="0.25">
      <c r="A5038">
        <v>203</v>
      </c>
    </row>
    <row r="5039" spans="1:1" x14ac:dyDescent="0.25">
      <c r="A5039">
        <v>175</v>
      </c>
    </row>
    <row r="5040" spans="1:1" x14ac:dyDescent="0.25">
      <c r="A5040">
        <v>155</v>
      </c>
    </row>
    <row r="5041" spans="1:1" x14ac:dyDescent="0.25">
      <c r="A5041">
        <v>5</v>
      </c>
    </row>
    <row r="5042" spans="1:1" x14ac:dyDescent="0.25">
      <c r="A5042">
        <v>546</v>
      </c>
    </row>
    <row r="5043" spans="1:1" x14ac:dyDescent="0.25">
      <c r="A5043" t="s">
        <v>1542</v>
      </c>
    </row>
    <row r="5044" spans="1:1" x14ac:dyDescent="0.25">
      <c r="A5044" t="s">
        <v>687</v>
      </c>
    </row>
    <row r="5045" spans="1:1" x14ac:dyDescent="0.25">
      <c r="A5045" t="s">
        <v>1543</v>
      </c>
    </row>
    <row r="5046" spans="1:1" x14ac:dyDescent="0.25">
      <c r="A5046">
        <v>700</v>
      </c>
    </row>
    <row r="5047" spans="1:1" x14ac:dyDescent="0.25">
      <c r="A5047">
        <v>71</v>
      </c>
    </row>
    <row r="5048" spans="1:1" x14ac:dyDescent="0.25">
      <c r="A5048">
        <v>111</v>
      </c>
    </row>
    <row r="5049" spans="1:1" x14ac:dyDescent="0.25">
      <c r="A5049">
        <v>120</v>
      </c>
    </row>
    <row r="5050" spans="1:1" x14ac:dyDescent="0.25">
      <c r="A5050">
        <v>5</v>
      </c>
    </row>
    <row r="5051" spans="1:1" x14ac:dyDescent="0.25">
      <c r="A5051">
        <v>547</v>
      </c>
    </row>
    <row r="5052" spans="1:1" x14ac:dyDescent="0.25">
      <c r="A5052" t="s">
        <v>1544</v>
      </c>
    </row>
    <row r="5053" spans="1:1" x14ac:dyDescent="0.25">
      <c r="A5053" t="s">
        <v>688</v>
      </c>
    </row>
    <row r="5054" spans="1:1" x14ac:dyDescent="0.25">
      <c r="A5054" t="s">
        <v>1543</v>
      </c>
    </row>
    <row r="5055" spans="1:1" x14ac:dyDescent="0.25">
      <c r="A5055">
        <v>2014</v>
      </c>
    </row>
    <row r="5056" spans="1:1" x14ac:dyDescent="0.25">
      <c r="A5056">
        <v>164</v>
      </c>
    </row>
    <row r="5057" spans="1:1" x14ac:dyDescent="0.25">
      <c r="A5057">
        <v>176</v>
      </c>
    </row>
    <row r="5058" spans="1:1" x14ac:dyDescent="0.25">
      <c r="A5058">
        <v>155</v>
      </c>
    </row>
    <row r="5059" spans="1:1" x14ac:dyDescent="0.25">
      <c r="A5059">
        <v>5</v>
      </c>
    </row>
    <row r="5060" spans="1:1" x14ac:dyDescent="0.25">
      <c r="A5060">
        <v>548</v>
      </c>
    </row>
    <row r="5061" spans="1:1" x14ac:dyDescent="0.25">
      <c r="A5061" t="s">
        <v>1545</v>
      </c>
    </row>
    <row r="5062" spans="1:1" x14ac:dyDescent="0.25">
      <c r="A5062" t="s">
        <v>689</v>
      </c>
    </row>
    <row r="5063" spans="1:1" x14ac:dyDescent="0.25">
      <c r="A5063" t="s">
        <v>988</v>
      </c>
    </row>
    <row r="5064" spans="1:1" x14ac:dyDescent="0.25">
      <c r="A5064">
        <v>1030</v>
      </c>
    </row>
    <row r="5065" spans="1:1" x14ac:dyDescent="0.25">
      <c r="A5065">
        <v>119</v>
      </c>
    </row>
    <row r="5066" spans="1:1" x14ac:dyDescent="0.25">
      <c r="A5066">
        <v>91</v>
      </c>
    </row>
    <row r="5067" spans="1:1" x14ac:dyDescent="0.25">
      <c r="A5067">
        <v>128</v>
      </c>
    </row>
    <row r="5068" spans="1:1" x14ac:dyDescent="0.25">
      <c r="A5068">
        <v>5</v>
      </c>
    </row>
    <row r="5069" spans="1:1" x14ac:dyDescent="0.25">
      <c r="A5069">
        <v>549</v>
      </c>
    </row>
    <row r="5070" spans="1:1" x14ac:dyDescent="0.25">
      <c r="A5070" t="s">
        <v>1546</v>
      </c>
    </row>
    <row r="5071" spans="1:1" x14ac:dyDescent="0.25">
      <c r="A5071" t="s">
        <v>690</v>
      </c>
    </row>
    <row r="5072" spans="1:1" x14ac:dyDescent="0.25">
      <c r="A5072" t="s">
        <v>988</v>
      </c>
    </row>
    <row r="5073" spans="1:1" x14ac:dyDescent="0.25">
      <c r="A5073">
        <v>2550</v>
      </c>
    </row>
    <row r="5074" spans="1:1" x14ac:dyDescent="0.25">
      <c r="A5074">
        <v>214</v>
      </c>
    </row>
    <row r="5075" spans="1:1" x14ac:dyDescent="0.25">
      <c r="A5075">
        <v>155</v>
      </c>
    </row>
    <row r="5076" spans="1:1" x14ac:dyDescent="0.25">
      <c r="A5076">
        <v>172</v>
      </c>
    </row>
    <row r="5077" spans="1:1" x14ac:dyDescent="0.25">
      <c r="A5077">
        <v>5</v>
      </c>
    </row>
    <row r="5078" spans="1:1" x14ac:dyDescent="0.25">
      <c r="A5078">
        <v>550</v>
      </c>
    </row>
    <row r="5079" spans="1:1" x14ac:dyDescent="0.25">
      <c r="A5079" t="s">
        <v>1547</v>
      </c>
    </row>
    <row r="5080" spans="1:1" x14ac:dyDescent="0.25">
      <c r="A5080" t="s">
        <v>1481</v>
      </c>
    </row>
    <row r="5081" spans="1:1" x14ac:dyDescent="0.25">
      <c r="A5081" t="s">
        <v>809</v>
      </c>
    </row>
    <row r="5082" spans="1:1" x14ac:dyDescent="0.25">
      <c r="A5082">
        <v>2090</v>
      </c>
    </row>
    <row r="5083" spans="1:1" x14ac:dyDescent="0.25">
      <c r="A5083">
        <v>189</v>
      </c>
    </row>
    <row r="5084" spans="1:1" x14ac:dyDescent="0.25">
      <c r="A5084">
        <v>129</v>
      </c>
    </row>
    <row r="5085" spans="1:1" x14ac:dyDescent="0.25">
      <c r="A5085">
        <v>172</v>
      </c>
    </row>
    <row r="5086" spans="1:1" x14ac:dyDescent="0.25">
      <c r="A5086">
        <v>5</v>
      </c>
    </row>
    <row r="5087" spans="1:1" x14ac:dyDescent="0.25">
      <c r="A5087">
        <v>550</v>
      </c>
    </row>
    <row r="5088" spans="1:1" x14ac:dyDescent="0.25">
      <c r="A5088" t="s">
        <v>1548</v>
      </c>
    </row>
    <row r="5089" spans="1:1" x14ac:dyDescent="0.25">
      <c r="A5089" t="s">
        <v>1482</v>
      </c>
    </row>
    <row r="5090" spans="1:1" x14ac:dyDescent="0.25">
      <c r="A5090" t="s">
        <v>809</v>
      </c>
    </row>
    <row r="5091" spans="1:1" x14ac:dyDescent="0.25">
      <c r="A5091">
        <v>2090</v>
      </c>
    </row>
    <row r="5092" spans="1:1" x14ac:dyDescent="0.25">
      <c r="A5092">
        <v>189</v>
      </c>
    </row>
    <row r="5093" spans="1:1" x14ac:dyDescent="0.25">
      <c r="A5093">
        <v>129</v>
      </c>
    </row>
    <row r="5094" spans="1:1" x14ac:dyDescent="0.25">
      <c r="A5094">
        <v>172</v>
      </c>
    </row>
    <row r="5095" spans="1:1" x14ac:dyDescent="0.25">
      <c r="A5095">
        <v>5</v>
      </c>
    </row>
    <row r="5096" spans="1:1" x14ac:dyDescent="0.25">
      <c r="A5096">
        <v>551</v>
      </c>
    </row>
    <row r="5097" spans="1:1" x14ac:dyDescent="0.25">
      <c r="A5097" t="s">
        <v>1549</v>
      </c>
    </row>
    <row r="5098" spans="1:1" x14ac:dyDescent="0.25">
      <c r="A5098" t="s">
        <v>725</v>
      </c>
    </row>
    <row r="5099" spans="1:1" x14ac:dyDescent="0.25">
      <c r="A5099" t="s">
        <v>1550</v>
      </c>
    </row>
    <row r="5100" spans="1:1" x14ac:dyDescent="0.25">
      <c r="A5100">
        <v>1037</v>
      </c>
    </row>
    <row r="5101" spans="1:1" x14ac:dyDescent="0.25">
      <c r="A5101">
        <v>132</v>
      </c>
    </row>
    <row r="5102" spans="1:1" x14ac:dyDescent="0.25">
      <c r="A5102">
        <v>69</v>
      </c>
    </row>
    <row r="5103" spans="1:1" x14ac:dyDescent="0.25">
      <c r="A5103">
        <v>137</v>
      </c>
    </row>
    <row r="5104" spans="1:1" x14ac:dyDescent="0.25">
      <c r="A5104">
        <v>5</v>
      </c>
    </row>
    <row r="5105" spans="1:1" x14ac:dyDescent="0.25">
      <c r="A5105">
        <v>552</v>
      </c>
    </row>
    <row r="5106" spans="1:1" x14ac:dyDescent="0.25">
      <c r="A5106" t="s">
        <v>1551</v>
      </c>
    </row>
    <row r="5107" spans="1:1" x14ac:dyDescent="0.25">
      <c r="A5107" t="s">
        <v>726</v>
      </c>
    </row>
    <row r="5108" spans="1:1" x14ac:dyDescent="0.25">
      <c r="A5108" t="s">
        <v>1550</v>
      </c>
    </row>
    <row r="5109" spans="1:1" x14ac:dyDescent="0.25">
      <c r="A5109">
        <v>1418</v>
      </c>
    </row>
    <row r="5110" spans="1:1" x14ac:dyDescent="0.25">
      <c r="A5110">
        <v>155</v>
      </c>
    </row>
    <row r="5111" spans="1:1" x14ac:dyDescent="0.25">
      <c r="A5111">
        <v>90</v>
      </c>
    </row>
    <row r="5112" spans="1:1" x14ac:dyDescent="0.25">
      <c r="A5112">
        <v>155</v>
      </c>
    </row>
    <row r="5113" spans="1:1" x14ac:dyDescent="0.25">
      <c r="A5113">
        <v>5</v>
      </c>
    </row>
    <row r="5114" spans="1:1" x14ac:dyDescent="0.25">
      <c r="A5114">
        <v>553</v>
      </c>
    </row>
    <row r="5115" spans="1:1" x14ac:dyDescent="0.25">
      <c r="A5115" t="s">
        <v>1552</v>
      </c>
    </row>
    <row r="5116" spans="1:1" x14ac:dyDescent="0.25">
      <c r="A5116" t="s">
        <v>727</v>
      </c>
    </row>
    <row r="5117" spans="1:1" x14ac:dyDescent="0.25">
      <c r="A5117" t="s">
        <v>1550</v>
      </c>
    </row>
    <row r="5118" spans="1:1" x14ac:dyDescent="0.25">
      <c r="A5118">
        <v>3046</v>
      </c>
    </row>
    <row r="5119" spans="1:1" x14ac:dyDescent="0.25">
      <c r="A5119">
        <v>229</v>
      </c>
    </row>
    <row r="5120" spans="1:1" x14ac:dyDescent="0.25">
      <c r="A5120">
        <v>158</v>
      </c>
    </row>
    <row r="5121" spans="1:1" x14ac:dyDescent="0.25">
      <c r="A5121">
        <v>216</v>
      </c>
    </row>
    <row r="5122" spans="1:1" x14ac:dyDescent="0.25">
      <c r="A5122">
        <v>5</v>
      </c>
    </row>
    <row r="5123" spans="1:1" x14ac:dyDescent="0.25">
      <c r="A5123">
        <v>554</v>
      </c>
    </row>
    <row r="5124" spans="1:1" x14ac:dyDescent="0.25">
      <c r="A5124" t="s">
        <v>1553</v>
      </c>
    </row>
    <row r="5125" spans="1:1" x14ac:dyDescent="0.25">
      <c r="A5125" t="s">
        <v>463</v>
      </c>
    </row>
    <row r="5126" spans="1:1" x14ac:dyDescent="0.25">
      <c r="A5126" t="s">
        <v>804</v>
      </c>
    </row>
    <row r="5127" spans="1:1" x14ac:dyDescent="0.25">
      <c r="A5127">
        <v>1442</v>
      </c>
    </row>
    <row r="5128" spans="1:1" x14ac:dyDescent="0.25">
      <c r="A5128">
        <v>153</v>
      </c>
    </row>
    <row r="5129" spans="1:1" x14ac:dyDescent="0.25">
      <c r="A5129">
        <v>86</v>
      </c>
    </row>
    <row r="5130" spans="1:1" x14ac:dyDescent="0.25">
      <c r="A5130">
        <v>172</v>
      </c>
    </row>
    <row r="5131" spans="1:1" x14ac:dyDescent="0.25">
      <c r="A5131">
        <v>5</v>
      </c>
    </row>
    <row r="5132" spans="1:1" x14ac:dyDescent="0.25">
      <c r="A5132">
        <v>555</v>
      </c>
    </row>
    <row r="5133" spans="1:1" x14ac:dyDescent="0.25">
      <c r="A5133" t="s">
        <v>1554</v>
      </c>
    </row>
    <row r="5134" spans="1:1" x14ac:dyDescent="0.25">
      <c r="A5134" t="s">
        <v>464</v>
      </c>
    </row>
    <row r="5135" spans="1:1" x14ac:dyDescent="0.25">
      <c r="A5135" t="s">
        <v>804</v>
      </c>
    </row>
    <row r="5136" spans="1:1" x14ac:dyDescent="0.25">
      <c r="A5136">
        <v>3105</v>
      </c>
    </row>
    <row r="5137" spans="1:1" x14ac:dyDescent="0.25">
      <c r="A5137">
        <v>263</v>
      </c>
    </row>
    <row r="5138" spans="1:1" x14ac:dyDescent="0.25">
      <c r="A5138">
        <v>114</v>
      </c>
    </row>
    <row r="5139" spans="1:1" x14ac:dyDescent="0.25">
      <c r="A5139">
        <v>233</v>
      </c>
    </row>
    <row r="5140" spans="1:1" x14ac:dyDescent="0.25">
      <c r="A5140">
        <v>5</v>
      </c>
    </row>
    <row r="5141" spans="1:1" x14ac:dyDescent="0.25">
      <c r="A5141">
        <v>555</v>
      </c>
    </row>
    <row r="5142" spans="1:1" x14ac:dyDescent="0.25">
      <c r="A5142" t="s">
        <v>1555</v>
      </c>
    </row>
    <row r="5143" spans="1:1" x14ac:dyDescent="0.25">
      <c r="A5143" t="s">
        <v>1483</v>
      </c>
    </row>
    <row r="5144" spans="1:1" x14ac:dyDescent="0.25">
      <c r="A5144" t="s">
        <v>1556</v>
      </c>
    </row>
    <row r="5145" spans="1:1" x14ac:dyDescent="0.25">
      <c r="A5145">
        <v>3738</v>
      </c>
    </row>
    <row r="5146" spans="1:1" x14ac:dyDescent="0.25">
      <c r="A5146">
        <v>243</v>
      </c>
    </row>
    <row r="5147" spans="1:1" x14ac:dyDescent="0.25">
      <c r="A5147">
        <v>202</v>
      </c>
    </row>
    <row r="5148" spans="1:1" x14ac:dyDescent="0.25">
      <c r="A5148">
        <v>233</v>
      </c>
    </row>
    <row r="5149" spans="1:1" x14ac:dyDescent="0.25">
      <c r="A5149">
        <v>5</v>
      </c>
    </row>
    <row r="5150" spans="1:1" x14ac:dyDescent="0.25">
      <c r="A5150">
        <v>556</v>
      </c>
    </row>
    <row r="5151" spans="1:1" x14ac:dyDescent="0.25">
      <c r="A5151" t="s">
        <v>1557</v>
      </c>
    </row>
    <row r="5152" spans="1:1" x14ac:dyDescent="0.25">
      <c r="A5152" t="s">
        <v>182</v>
      </c>
    </row>
    <row r="5153" spans="1:1" x14ac:dyDescent="0.25">
      <c r="A5153" t="s">
        <v>988</v>
      </c>
    </row>
    <row r="5154" spans="1:1" x14ac:dyDescent="0.25">
      <c r="A5154">
        <v>2274</v>
      </c>
    </row>
    <row r="5155" spans="1:1" x14ac:dyDescent="0.25">
      <c r="A5155">
        <v>201</v>
      </c>
    </row>
    <row r="5156" spans="1:1" x14ac:dyDescent="0.25">
      <c r="A5156">
        <v>130</v>
      </c>
    </row>
    <row r="5157" spans="1:1" x14ac:dyDescent="0.25">
      <c r="A5157">
        <v>181</v>
      </c>
    </row>
    <row r="5158" spans="1:1" x14ac:dyDescent="0.25">
      <c r="A5158">
        <v>5</v>
      </c>
    </row>
    <row r="5159" spans="1:1" x14ac:dyDescent="0.25">
      <c r="A5159">
        <v>557</v>
      </c>
    </row>
    <row r="5160" spans="1:1" x14ac:dyDescent="0.25">
      <c r="A5160" t="s">
        <v>1558</v>
      </c>
    </row>
    <row r="5161" spans="1:1" x14ac:dyDescent="0.25">
      <c r="A5161" t="s">
        <v>183</v>
      </c>
    </row>
    <row r="5162" spans="1:1" x14ac:dyDescent="0.25">
      <c r="A5162" t="s">
        <v>1113</v>
      </c>
    </row>
    <row r="5163" spans="1:1" x14ac:dyDescent="0.25">
      <c r="A5163">
        <v>1224</v>
      </c>
    </row>
    <row r="5164" spans="1:1" x14ac:dyDescent="0.25">
      <c r="A5164">
        <v>118</v>
      </c>
    </row>
    <row r="5165" spans="1:1" x14ac:dyDescent="0.25">
      <c r="A5165">
        <v>128</v>
      </c>
    </row>
    <row r="5166" spans="1:1" x14ac:dyDescent="0.25">
      <c r="A5166">
        <v>137</v>
      </c>
    </row>
    <row r="5167" spans="1:1" x14ac:dyDescent="0.25">
      <c r="A5167">
        <v>5</v>
      </c>
    </row>
    <row r="5168" spans="1:1" x14ac:dyDescent="0.25">
      <c r="A5168">
        <v>558</v>
      </c>
    </row>
    <row r="5169" spans="1:1" x14ac:dyDescent="0.25">
      <c r="A5169" t="s">
        <v>1559</v>
      </c>
    </row>
    <row r="5170" spans="1:1" x14ac:dyDescent="0.25">
      <c r="A5170" t="s">
        <v>692</v>
      </c>
    </row>
    <row r="5171" spans="1:1" x14ac:dyDescent="0.25">
      <c r="A5171" t="s">
        <v>1113</v>
      </c>
    </row>
    <row r="5172" spans="1:1" x14ac:dyDescent="0.25">
      <c r="A5172">
        <v>2542</v>
      </c>
    </row>
    <row r="5173" spans="1:1" x14ac:dyDescent="0.25">
      <c r="A5173">
        <v>188</v>
      </c>
    </row>
    <row r="5174" spans="1:1" x14ac:dyDescent="0.25">
      <c r="A5174">
        <v>200</v>
      </c>
    </row>
    <row r="5175" spans="1:1" x14ac:dyDescent="0.25">
      <c r="A5175">
        <v>172</v>
      </c>
    </row>
    <row r="5176" spans="1:1" x14ac:dyDescent="0.25">
      <c r="A5176">
        <v>5</v>
      </c>
    </row>
    <row r="5177" spans="1:1" x14ac:dyDescent="0.25">
      <c r="A5177">
        <v>559</v>
      </c>
    </row>
    <row r="5178" spans="1:1" x14ac:dyDescent="0.25">
      <c r="A5178" t="s">
        <v>1560</v>
      </c>
    </row>
    <row r="5179" spans="1:1" x14ac:dyDescent="0.25">
      <c r="A5179" t="s">
        <v>465</v>
      </c>
    </row>
    <row r="5180" spans="1:1" x14ac:dyDescent="0.25">
      <c r="A5180" t="s">
        <v>1561</v>
      </c>
    </row>
    <row r="5181" spans="1:1" x14ac:dyDescent="0.25">
      <c r="A5181">
        <v>1372</v>
      </c>
    </row>
    <row r="5182" spans="1:1" x14ac:dyDescent="0.25">
      <c r="A5182">
        <v>132</v>
      </c>
    </row>
    <row r="5183" spans="1:1" x14ac:dyDescent="0.25">
      <c r="A5183">
        <v>132</v>
      </c>
    </row>
    <row r="5184" spans="1:1" x14ac:dyDescent="0.25">
      <c r="A5184">
        <v>137</v>
      </c>
    </row>
    <row r="5185" spans="1:1" x14ac:dyDescent="0.25">
      <c r="A5185">
        <v>5</v>
      </c>
    </row>
    <row r="5186" spans="1:1" x14ac:dyDescent="0.25">
      <c r="A5186">
        <v>560</v>
      </c>
    </row>
    <row r="5187" spans="1:1" x14ac:dyDescent="0.25">
      <c r="A5187" t="s">
        <v>1562</v>
      </c>
    </row>
    <row r="5188" spans="1:1" x14ac:dyDescent="0.25">
      <c r="A5188" t="s">
        <v>466</v>
      </c>
    </row>
    <row r="5189" spans="1:1" x14ac:dyDescent="0.25">
      <c r="A5189" t="s">
        <v>1561</v>
      </c>
    </row>
    <row r="5190" spans="1:1" x14ac:dyDescent="0.25">
      <c r="A5190">
        <v>2283</v>
      </c>
    </row>
    <row r="5191" spans="1:1" x14ac:dyDescent="0.25">
      <c r="A5191">
        <v>163</v>
      </c>
    </row>
    <row r="5192" spans="1:1" x14ac:dyDescent="0.25">
      <c r="A5192">
        <v>222</v>
      </c>
    </row>
    <row r="5193" spans="1:1" x14ac:dyDescent="0.25">
      <c r="A5193">
        <v>163</v>
      </c>
    </row>
    <row r="5194" spans="1:1" x14ac:dyDescent="0.25">
      <c r="A5194">
        <v>5</v>
      </c>
    </row>
    <row r="5195" spans="1:1" x14ac:dyDescent="0.25">
      <c r="A5195">
        <v>561</v>
      </c>
    </row>
    <row r="5196" spans="1:1" x14ac:dyDescent="0.25">
      <c r="A5196" t="s">
        <v>1563</v>
      </c>
    </row>
    <row r="5197" spans="1:1" x14ac:dyDescent="0.25">
      <c r="A5197" t="s">
        <v>602</v>
      </c>
    </row>
    <row r="5198" spans="1:1" x14ac:dyDescent="0.25">
      <c r="A5198" t="s">
        <v>1066</v>
      </c>
    </row>
    <row r="5199" spans="1:1" x14ac:dyDescent="0.25">
      <c r="A5199">
        <v>2550</v>
      </c>
    </row>
    <row r="5200" spans="1:1" x14ac:dyDescent="0.25">
      <c r="A5200">
        <v>204</v>
      </c>
    </row>
    <row r="5201" spans="1:1" x14ac:dyDescent="0.25">
      <c r="A5201">
        <v>167</v>
      </c>
    </row>
    <row r="5202" spans="1:1" x14ac:dyDescent="0.25">
      <c r="A5202">
        <v>176</v>
      </c>
    </row>
    <row r="5203" spans="1:1" x14ac:dyDescent="0.25">
      <c r="A5203">
        <v>5</v>
      </c>
    </row>
    <row r="5204" spans="1:1" x14ac:dyDescent="0.25">
      <c r="A5204">
        <v>562</v>
      </c>
    </row>
    <row r="5205" spans="1:1" x14ac:dyDescent="0.25">
      <c r="A5205" t="s">
        <v>1564</v>
      </c>
    </row>
    <row r="5206" spans="1:1" x14ac:dyDescent="0.25">
      <c r="A5206" t="s">
        <v>467</v>
      </c>
    </row>
    <row r="5207" spans="1:1" x14ac:dyDescent="0.25">
      <c r="A5207" t="s">
        <v>1095</v>
      </c>
    </row>
    <row r="5208" spans="1:1" x14ac:dyDescent="0.25">
      <c r="A5208">
        <v>982</v>
      </c>
    </row>
    <row r="5209" spans="1:1" x14ac:dyDescent="0.25">
      <c r="A5209">
        <v>95</v>
      </c>
    </row>
    <row r="5210" spans="1:1" x14ac:dyDescent="0.25">
      <c r="A5210">
        <v>141</v>
      </c>
    </row>
    <row r="5211" spans="1:1" x14ac:dyDescent="0.25">
      <c r="A5211">
        <v>116</v>
      </c>
    </row>
    <row r="5212" spans="1:1" x14ac:dyDescent="0.25">
      <c r="A5212">
        <v>5</v>
      </c>
    </row>
    <row r="5213" spans="1:1" x14ac:dyDescent="0.25">
      <c r="A5213">
        <v>563</v>
      </c>
    </row>
    <row r="5214" spans="1:1" x14ac:dyDescent="0.25">
      <c r="A5214" t="s">
        <v>1565</v>
      </c>
    </row>
    <row r="5215" spans="1:1" x14ac:dyDescent="0.25">
      <c r="A5215" t="s">
        <v>468</v>
      </c>
    </row>
    <row r="5216" spans="1:1" x14ac:dyDescent="0.25">
      <c r="A5216" t="s">
        <v>1095</v>
      </c>
    </row>
    <row r="5217" spans="1:1" x14ac:dyDescent="0.25">
      <c r="A5217">
        <v>2273</v>
      </c>
    </row>
    <row r="5218" spans="1:1" x14ac:dyDescent="0.25">
      <c r="A5218">
        <v>163</v>
      </c>
    </row>
    <row r="5219" spans="1:1" x14ac:dyDescent="0.25">
      <c r="A5219">
        <v>237</v>
      </c>
    </row>
    <row r="5220" spans="1:1" x14ac:dyDescent="0.25">
      <c r="A5220">
        <v>151</v>
      </c>
    </row>
    <row r="5221" spans="1:1" x14ac:dyDescent="0.25">
      <c r="A5221">
        <v>5</v>
      </c>
    </row>
    <row r="5222" spans="1:1" x14ac:dyDescent="0.25">
      <c r="A5222">
        <v>564</v>
      </c>
    </row>
    <row r="5223" spans="1:1" x14ac:dyDescent="0.25">
      <c r="A5223" t="s">
        <v>1566</v>
      </c>
    </row>
    <row r="5224" spans="1:1" x14ac:dyDescent="0.25">
      <c r="A5224" t="s">
        <v>603</v>
      </c>
    </row>
    <row r="5225" spans="1:1" x14ac:dyDescent="0.25">
      <c r="A5225" t="s">
        <v>1127</v>
      </c>
    </row>
    <row r="5226" spans="1:1" x14ac:dyDescent="0.25">
      <c r="A5226">
        <v>1488</v>
      </c>
    </row>
    <row r="5227" spans="1:1" x14ac:dyDescent="0.25">
      <c r="A5227">
        <v>134</v>
      </c>
    </row>
    <row r="5228" spans="1:1" x14ac:dyDescent="0.25">
      <c r="A5228">
        <v>146</v>
      </c>
    </row>
    <row r="5229" spans="1:1" x14ac:dyDescent="0.25">
      <c r="A5229">
        <v>144</v>
      </c>
    </row>
    <row r="5230" spans="1:1" x14ac:dyDescent="0.25">
      <c r="A5230">
        <v>5</v>
      </c>
    </row>
    <row r="5231" spans="1:1" x14ac:dyDescent="0.25">
      <c r="A5231">
        <v>565</v>
      </c>
    </row>
    <row r="5232" spans="1:1" x14ac:dyDescent="0.25">
      <c r="A5232" t="s">
        <v>1567</v>
      </c>
    </row>
    <row r="5233" spans="1:1" x14ac:dyDescent="0.25">
      <c r="A5233" t="s">
        <v>604</v>
      </c>
    </row>
    <row r="5234" spans="1:1" x14ac:dyDescent="0.25">
      <c r="A5234" t="s">
        <v>1127</v>
      </c>
    </row>
    <row r="5235" spans="1:1" x14ac:dyDescent="0.25">
      <c r="A5235">
        <v>2621</v>
      </c>
    </row>
    <row r="5236" spans="1:1" x14ac:dyDescent="0.25">
      <c r="A5236">
        <v>192</v>
      </c>
    </row>
    <row r="5237" spans="1:1" x14ac:dyDescent="0.25">
      <c r="A5237">
        <v>197</v>
      </c>
    </row>
    <row r="5238" spans="1:1" x14ac:dyDescent="0.25">
      <c r="A5238">
        <v>179</v>
      </c>
    </row>
    <row r="5239" spans="1:1" x14ac:dyDescent="0.25">
      <c r="A5239">
        <v>5</v>
      </c>
    </row>
    <row r="5240" spans="1:1" x14ac:dyDescent="0.25">
      <c r="A5240">
        <v>566</v>
      </c>
    </row>
    <row r="5241" spans="1:1" x14ac:dyDescent="0.25">
      <c r="A5241" t="s">
        <v>1568</v>
      </c>
    </row>
    <row r="5242" spans="1:1" x14ac:dyDescent="0.25">
      <c r="A5242" t="s">
        <v>605</v>
      </c>
    </row>
    <row r="5243" spans="1:1" x14ac:dyDescent="0.25">
      <c r="A5243" t="s">
        <v>1022</v>
      </c>
    </row>
    <row r="5244" spans="1:1" x14ac:dyDescent="0.25">
      <c r="A5244">
        <v>1842</v>
      </c>
    </row>
    <row r="5245" spans="1:1" x14ac:dyDescent="0.25">
      <c r="A5245">
        <v>213</v>
      </c>
    </row>
    <row r="5246" spans="1:1" x14ac:dyDescent="0.25">
      <c r="A5246">
        <v>89</v>
      </c>
    </row>
    <row r="5247" spans="1:1" x14ac:dyDescent="0.25">
      <c r="A5247">
        <v>146</v>
      </c>
    </row>
    <row r="5248" spans="1:1" x14ac:dyDescent="0.25">
      <c r="A5248">
        <v>5</v>
      </c>
    </row>
    <row r="5249" spans="1:1" x14ac:dyDescent="0.25">
      <c r="A5249">
        <v>567</v>
      </c>
    </row>
    <row r="5250" spans="1:1" x14ac:dyDescent="0.25">
      <c r="A5250" t="s">
        <v>1569</v>
      </c>
    </row>
    <row r="5251" spans="1:1" x14ac:dyDescent="0.25">
      <c r="A5251" t="s">
        <v>606</v>
      </c>
    </row>
    <row r="5252" spans="1:1" x14ac:dyDescent="0.25">
      <c r="A5252" t="s">
        <v>1022</v>
      </c>
    </row>
    <row r="5253" spans="1:1" x14ac:dyDescent="0.25">
      <c r="A5253">
        <v>3331</v>
      </c>
    </row>
    <row r="5254" spans="1:1" x14ac:dyDescent="0.25">
      <c r="A5254">
        <v>292</v>
      </c>
    </row>
    <row r="5255" spans="1:1" x14ac:dyDescent="0.25">
      <c r="A5255">
        <v>139</v>
      </c>
    </row>
    <row r="5256" spans="1:1" x14ac:dyDescent="0.25">
      <c r="A5256">
        <v>181</v>
      </c>
    </row>
    <row r="5257" spans="1:1" x14ac:dyDescent="0.25">
      <c r="A5257">
        <v>5</v>
      </c>
    </row>
    <row r="5258" spans="1:1" x14ac:dyDescent="0.25">
      <c r="A5258">
        <v>568</v>
      </c>
    </row>
    <row r="5259" spans="1:1" x14ac:dyDescent="0.25">
      <c r="A5259" t="s">
        <v>1570</v>
      </c>
    </row>
    <row r="5260" spans="1:1" x14ac:dyDescent="0.25">
      <c r="A5260" t="s">
        <v>469</v>
      </c>
    </row>
    <row r="5261" spans="1:1" x14ac:dyDescent="0.25">
      <c r="A5261" t="s">
        <v>836</v>
      </c>
    </row>
    <row r="5262" spans="1:1" x14ac:dyDescent="0.25">
      <c r="A5262">
        <v>1000</v>
      </c>
    </row>
    <row r="5263" spans="1:1" x14ac:dyDescent="0.25">
      <c r="A5263">
        <v>96</v>
      </c>
    </row>
    <row r="5264" spans="1:1" x14ac:dyDescent="0.25">
      <c r="A5264">
        <v>122</v>
      </c>
    </row>
    <row r="5265" spans="1:1" x14ac:dyDescent="0.25">
      <c r="A5265">
        <v>137</v>
      </c>
    </row>
    <row r="5266" spans="1:1" x14ac:dyDescent="0.25">
      <c r="A5266">
        <v>5</v>
      </c>
    </row>
    <row r="5267" spans="1:1" x14ac:dyDescent="0.25">
      <c r="A5267">
        <v>569</v>
      </c>
    </row>
    <row r="5268" spans="1:1" x14ac:dyDescent="0.25">
      <c r="A5268" t="s">
        <v>1571</v>
      </c>
    </row>
    <row r="5269" spans="1:1" x14ac:dyDescent="0.25">
      <c r="A5269" t="s">
        <v>470</v>
      </c>
    </row>
    <row r="5270" spans="1:1" x14ac:dyDescent="0.25">
      <c r="A5270" t="s">
        <v>836</v>
      </c>
    </row>
    <row r="5271" spans="1:1" x14ac:dyDescent="0.25">
      <c r="A5271">
        <v>2345</v>
      </c>
    </row>
    <row r="5272" spans="1:1" x14ac:dyDescent="0.25">
      <c r="A5272">
        <v>181</v>
      </c>
    </row>
    <row r="5273" spans="1:1" x14ac:dyDescent="0.25">
      <c r="A5273">
        <v>164</v>
      </c>
    </row>
    <row r="5274" spans="1:1" x14ac:dyDescent="0.25">
      <c r="A5274">
        <v>190</v>
      </c>
    </row>
    <row r="5275" spans="1:1" x14ac:dyDescent="0.25">
      <c r="A5275">
        <v>5</v>
      </c>
    </row>
    <row r="5276" spans="1:1" x14ac:dyDescent="0.25">
      <c r="A5276">
        <v>570</v>
      </c>
    </row>
    <row r="5277" spans="1:1" x14ac:dyDescent="0.25">
      <c r="A5277" t="s">
        <v>1572</v>
      </c>
    </row>
    <row r="5278" spans="1:1" x14ac:dyDescent="0.25">
      <c r="A5278" t="s">
        <v>728</v>
      </c>
    </row>
    <row r="5279" spans="1:1" x14ac:dyDescent="0.25">
      <c r="A5279" t="s">
        <v>894</v>
      </c>
    </row>
    <row r="5280" spans="1:1" x14ac:dyDescent="0.25">
      <c r="A5280">
        <v>1175</v>
      </c>
    </row>
    <row r="5281" spans="1:1" x14ac:dyDescent="0.25">
      <c r="A5281">
        <v>153</v>
      </c>
    </row>
    <row r="5282" spans="1:1" x14ac:dyDescent="0.25">
      <c r="A5282">
        <v>78</v>
      </c>
    </row>
    <row r="5283" spans="1:1" x14ac:dyDescent="0.25">
      <c r="A5283">
        <v>120</v>
      </c>
    </row>
    <row r="5284" spans="1:1" x14ac:dyDescent="0.25">
      <c r="A5284">
        <v>5</v>
      </c>
    </row>
    <row r="5285" spans="1:1" x14ac:dyDescent="0.25">
      <c r="A5285">
        <v>571</v>
      </c>
    </row>
    <row r="5286" spans="1:1" x14ac:dyDescent="0.25">
      <c r="A5286" t="s">
        <v>1573</v>
      </c>
    </row>
    <row r="5287" spans="1:1" x14ac:dyDescent="0.25">
      <c r="A5287" t="s">
        <v>729</v>
      </c>
    </row>
    <row r="5288" spans="1:1" x14ac:dyDescent="0.25">
      <c r="A5288" t="s">
        <v>894</v>
      </c>
    </row>
    <row r="5289" spans="1:1" x14ac:dyDescent="0.25">
      <c r="A5289">
        <v>2571</v>
      </c>
    </row>
    <row r="5290" spans="1:1" x14ac:dyDescent="0.25">
      <c r="A5290">
        <v>250</v>
      </c>
    </row>
    <row r="5291" spans="1:1" x14ac:dyDescent="0.25">
      <c r="A5291">
        <v>127</v>
      </c>
    </row>
    <row r="5292" spans="1:1" x14ac:dyDescent="0.25">
      <c r="A5292">
        <v>155</v>
      </c>
    </row>
    <row r="5293" spans="1:1" x14ac:dyDescent="0.25">
      <c r="A5293">
        <v>5</v>
      </c>
    </row>
    <row r="5294" spans="1:1" x14ac:dyDescent="0.25">
      <c r="A5294">
        <v>572</v>
      </c>
    </row>
    <row r="5295" spans="1:1" x14ac:dyDescent="0.25">
      <c r="A5295" t="s">
        <v>1574</v>
      </c>
    </row>
    <row r="5296" spans="1:1" x14ac:dyDescent="0.25">
      <c r="A5296" t="s">
        <v>471</v>
      </c>
    </row>
    <row r="5297" spans="1:1" x14ac:dyDescent="0.25">
      <c r="A5297" t="s">
        <v>826</v>
      </c>
    </row>
    <row r="5298" spans="1:1" x14ac:dyDescent="0.25">
      <c r="A5298">
        <v>872</v>
      </c>
    </row>
    <row r="5299" spans="1:1" x14ac:dyDescent="0.25">
      <c r="A5299">
        <v>98</v>
      </c>
    </row>
    <row r="5300" spans="1:1" x14ac:dyDescent="0.25">
      <c r="A5300">
        <v>80</v>
      </c>
    </row>
    <row r="5301" spans="1:1" x14ac:dyDescent="0.25">
      <c r="A5301">
        <v>146</v>
      </c>
    </row>
    <row r="5302" spans="1:1" x14ac:dyDescent="0.25">
      <c r="A5302">
        <v>5</v>
      </c>
    </row>
    <row r="5303" spans="1:1" x14ac:dyDescent="0.25">
      <c r="A5303">
        <v>573</v>
      </c>
    </row>
    <row r="5304" spans="1:1" x14ac:dyDescent="0.25">
      <c r="A5304" t="s">
        <v>1575</v>
      </c>
    </row>
    <row r="5305" spans="1:1" x14ac:dyDescent="0.25">
      <c r="A5305" t="s">
        <v>472</v>
      </c>
    </row>
    <row r="5306" spans="1:1" x14ac:dyDescent="0.25">
      <c r="A5306" t="s">
        <v>826</v>
      </c>
    </row>
    <row r="5307" spans="1:1" x14ac:dyDescent="0.25">
      <c r="A5307">
        <v>2242</v>
      </c>
    </row>
    <row r="5308" spans="1:1" x14ac:dyDescent="0.25">
      <c r="A5308">
        <v>198</v>
      </c>
    </row>
    <row r="5309" spans="1:1" x14ac:dyDescent="0.25">
      <c r="A5309">
        <v>130</v>
      </c>
    </row>
    <row r="5310" spans="1:1" x14ac:dyDescent="0.25">
      <c r="A5310">
        <v>181</v>
      </c>
    </row>
    <row r="5311" spans="1:1" x14ac:dyDescent="0.25">
      <c r="A5311">
        <v>5</v>
      </c>
    </row>
    <row r="5312" spans="1:1" x14ac:dyDescent="0.25">
      <c r="A5312">
        <v>574</v>
      </c>
    </row>
    <row r="5313" spans="1:1" x14ac:dyDescent="0.25">
      <c r="A5313" t="s">
        <v>1576</v>
      </c>
    </row>
    <row r="5314" spans="1:1" x14ac:dyDescent="0.25">
      <c r="A5314" t="s">
        <v>704</v>
      </c>
    </row>
    <row r="5315" spans="1:1" x14ac:dyDescent="0.25">
      <c r="A5315" t="s">
        <v>910</v>
      </c>
    </row>
    <row r="5316" spans="1:1" x14ac:dyDescent="0.25">
      <c r="A5316">
        <v>951</v>
      </c>
    </row>
    <row r="5317" spans="1:1" x14ac:dyDescent="0.25">
      <c r="A5317">
        <v>98</v>
      </c>
    </row>
    <row r="5318" spans="1:1" x14ac:dyDescent="0.25">
      <c r="A5318">
        <v>112</v>
      </c>
    </row>
    <row r="5319" spans="1:1" x14ac:dyDescent="0.25">
      <c r="A5319">
        <v>128</v>
      </c>
    </row>
    <row r="5320" spans="1:1" x14ac:dyDescent="0.25">
      <c r="A5320">
        <v>5</v>
      </c>
    </row>
    <row r="5321" spans="1:1" x14ac:dyDescent="0.25">
      <c r="A5321">
        <v>575</v>
      </c>
    </row>
    <row r="5322" spans="1:1" x14ac:dyDescent="0.25">
      <c r="A5322" t="s">
        <v>1577</v>
      </c>
    </row>
    <row r="5323" spans="1:1" x14ac:dyDescent="0.25">
      <c r="A5323" t="s">
        <v>705</v>
      </c>
    </row>
    <row r="5324" spans="1:1" x14ac:dyDescent="0.25">
      <c r="A5324" t="s">
        <v>910</v>
      </c>
    </row>
    <row r="5325" spans="1:1" x14ac:dyDescent="0.25">
      <c r="A5325">
        <v>1604</v>
      </c>
    </row>
    <row r="5326" spans="1:1" x14ac:dyDescent="0.25">
      <c r="A5326">
        <v>137</v>
      </c>
    </row>
    <row r="5327" spans="1:1" x14ac:dyDescent="0.25">
      <c r="A5327">
        <v>153</v>
      </c>
    </row>
    <row r="5328" spans="1:1" x14ac:dyDescent="0.25">
      <c r="A5328">
        <v>155</v>
      </c>
    </row>
    <row r="5329" spans="1:1" x14ac:dyDescent="0.25">
      <c r="A5329">
        <v>5</v>
      </c>
    </row>
    <row r="5330" spans="1:1" x14ac:dyDescent="0.25">
      <c r="A5330">
        <v>576</v>
      </c>
    </row>
    <row r="5331" spans="1:1" x14ac:dyDescent="0.25">
      <c r="A5331" t="s">
        <v>1578</v>
      </c>
    </row>
    <row r="5332" spans="1:1" x14ac:dyDescent="0.25">
      <c r="A5332" t="s">
        <v>706</v>
      </c>
    </row>
    <row r="5333" spans="1:1" x14ac:dyDescent="0.25">
      <c r="A5333" t="s">
        <v>910</v>
      </c>
    </row>
    <row r="5334" spans="1:1" x14ac:dyDescent="0.25">
      <c r="A5334">
        <v>2419</v>
      </c>
    </row>
    <row r="5335" spans="1:1" x14ac:dyDescent="0.25">
      <c r="A5335">
        <v>176</v>
      </c>
    </row>
    <row r="5336" spans="1:1" x14ac:dyDescent="0.25">
      <c r="A5336">
        <v>205</v>
      </c>
    </row>
    <row r="5337" spans="1:1" x14ac:dyDescent="0.25">
      <c r="A5337">
        <v>172</v>
      </c>
    </row>
    <row r="5338" spans="1:1" x14ac:dyDescent="0.25">
      <c r="A5338">
        <v>5</v>
      </c>
    </row>
    <row r="5339" spans="1:1" x14ac:dyDescent="0.25">
      <c r="A5339">
        <v>577</v>
      </c>
    </row>
    <row r="5340" spans="1:1" x14ac:dyDescent="0.25">
      <c r="A5340" t="s">
        <v>1579</v>
      </c>
    </row>
    <row r="5341" spans="1:1" x14ac:dyDescent="0.25">
      <c r="A5341" t="s">
        <v>647</v>
      </c>
    </row>
    <row r="5342" spans="1:1" x14ac:dyDescent="0.25">
      <c r="A5342" t="s">
        <v>910</v>
      </c>
    </row>
    <row r="5343" spans="1:1" x14ac:dyDescent="0.25">
      <c r="A5343">
        <v>1367</v>
      </c>
    </row>
    <row r="5344" spans="1:1" x14ac:dyDescent="0.25">
      <c r="A5344">
        <v>170</v>
      </c>
    </row>
    <row r="5345" spans="1:1" x14ac:dyDescent="0.25">
      <c r="A5345">
        <v>83</v>
      </c>
    </row>
    <row r="5346" spans="1:1" x14ac:dyDescent="0.25">
      <c r="A5346">
        <v>128</v>
      </c>
    </row>
    <row r="5347" spans="1:1" x14ac:dyDescent="0.25">
      <c r="A5347">
        <v>5</v>
      </c>
    </row>
    <row r="5348" spans="1:1" x14ac:dyDescent="0.25">
      <c r="A5348">
        <v>578</v>
      </c>
    </row>
    <row r="5349" spans="1:1" x14ac:dyDescent="0.25">
      <c r="A5349" t="s">
        <v>1580</v>
      </c>
    </row>
    <row r="5350" spans="1:1" x14ac:dyDescent="0.25">
      <c r="A5350" t="s">
        <v>707</v>
      </c>
    </row>
    <row r="5351" spans="1:1" x14ac:dyDescent="0.25">
      <c r="A5351" t="s">
        <v>910</v>
      </c>
    </row>
    <row r="5352" spans="1:1" x14ac:dyDescent="0.25">
      <c r="A5352">
        <v>2018</v>
      </c>
    </row>
    <row r="5353" spans="1:1" x14ac:dyDescent="0.25">
      <c r="A5353">
        <v>208</v>
      </c>
    </row>
    <row r="5354" spans="1:1" x14ac:dyDescent="0.25">
      <c r="A5354">
        <v>103</v>
      </c>
    </row>
    <row r="5355" spans="1:1" x14ac:dyDescent="0.25">
      <c r="A5355">
        <v>163</v>
      </c>
    </row>
    <row r="5356" spans="1:1" x14ac:dyDescent="0.25">
      <c r="A5356">
        <v>5</v>
      </c>
    </row>
    <row r="5357" spans="1:1" x14ac:dyDescent="0.25">
      <c r="A5357">
        <v>579</v>
      </c>
    </row>
    <row r="5358" spans="1:1" x14ac:dyDescent="0.25">
      <c r="A5358" t="s">
        <v>1581</v>
      </c>
    </row>
    <row r="5359" spans="1:1" x14ac:dyDescent="0.25">
      <c r="A5359" t="s">
        <v>708</v>
      </c>
    </row>
    <row r="5360" spans="1:1" x14ac:dyDescent="0.25">
      <c r="A5360" t="s">
        <v>910</v>
      </c>
    </row>
    <row r="5361" spans="1:1" x14ac:dyDescent="0.25">
      <c r="A5361">
        <v>2927</v>
      </c>
    </row>
    <row r="5362" spans="1:1" x14ac:dyDescent="0.25">
      <c r="A5362">
        <v>214</v>
      </c>
    </row>
    <row r="5363" spans="1:1" x14ac:dyDescent="0.25">
      <c r="A5363">
        <v>148</v>
      </c>
    </row>
    <row r="5364" spans="1:1" x14ac:dyDescent="0.25">
      <c r="A5364">
        <v>242</v>
      </c>
    </row>
    <row r="5365" spans="1:1" x14ac:dyDescent="0.25">
      <c r="A5365">
        <v>5</v>
      </c>
    </row>
    <row r="5366" spans="1:1" x14ac:dyDescent="0.25">
      <c r="A5366">
        <v>580</v>
      </c>
    </row>
    <row r="5367" spans="1:1" x14ac:dyDescent="0.25">
      <c r="A5367" t="s">
        <v>1582</v>
      </c>
    </row>
    <row r="5368" spans="1:1" x14ac:dyDescent="0.25">
      <c r="A5368" t="s">
        <v>709</v>
      </c>
    </row>
    <row r="5369" spans="1:1" x14ac:dyDescent="0.25">
      <c r="A5369" t="s">
        <v>1007</v>
      </c>
    </row>
    <row r="5370" spans="1:1" x14ac:dyDescent="0.25">
      <c r="A5370">
        <v>856</v>
      </c>
    </row>
    <row r="5371" spans="1:1" x14ac:dyDescent="0.25">
      <c r="A5371">
        <v>84</v>
      </c>
    </row>
    <row r="5372" spans="1:1" x14ac:dyDescent="0.25">
      <c r="A5372">
        <v>96</v>
      </c>
    </row>
    <row r="5373" spans="1:1" x14ac:dyDescent="0.25">
      <c r="A5373">
        <v>158</v>
      </c>
    </row>
    <row r="5374" spans="1:1" x14ac:dyDescent="0.25">
      <c r="A5374">
        <v>5</v>
      </c>
    </row>
    <row r="5375" spans="1:1" x14ac:dyDescent="0.25">
      <c r="A5375">
        <v>581</v>
      </c>
    </row>
    <row r="5376" spans="1:1" x14ac:dyDescent="0.25">
      <c r="A5376" t="s">
        <v>1583</v>
      </c>
    </row>
    <row r="5377" spans="1:1" x14ac:dyDescent="0.25">
      <c r="A5377" t="s">
        <v>710</v>
      </c>
    </row>
    <row r="5378" spans="1:1" x14ac:dyDescent="0.25">
      <c r="A5378" t="s">
        <v>1007</v>
      </c>
    </row>
    <row r="5379" spans="1:1" x14ac:dyDescent="0.25">
      <c r="A5379">
        <v>2088</v>
      </c>
    </row>
    <row r="5380" spans="1:1" x14ac:dyDescent="0.25">
      <c r="A5380">
        <v>182</v>
      </c>
    </row>
    <row r="5381" spans="1:1" x14ac:dyDescent="0.25">
      <c r="A5381">
        <v>132</v>
      </c>
    </row>
    <row r="5382" spans="1:1" x14ac:dyDescent="0.25">
      <c r="A5382">
        <v>181</v>
      </c>
    </row>
    <row r="5383" spans="1:1" x14ac:dyDescent="0.25">
      <c r="A5383">
        <v>5</v>
      </c>
    </row>
    <row r="5384" spans="1:1" x14ac:dyDescent="0.25">
      <c r="A5384">
        <v>582</v>
      </c>
    </row>
    <row r="5385" spans="1:1" x14ac:dyDescent="0.25">
      <c r="A5385" t="s">
        <v>1584</v>
      </c>
    </row>
    <row r="5386" spans="1:1" x14ac:dyDescent="0.25">
      <c r="A5386" t="s">
        <v>711</v>
      </c>
    </row>
    <row r="5387" spans="1:1" x14ac:dyDescent="0.25">
      <c r="A5387" t="s">
        <v>865</v>
      </c>
    </row>
    <row r="5388" spans="1:1" x14ac:dyDescent="0.25">
      <c r="A5388">
        <v>1033</v>
      </c>
    </row>
    <row r="5389" spans="1:1" x14ac:dyDescent="0.25">
      <c r="A5389">
        <v>118</v>
      </c>
    </row>
    <row r="5390" spans="1:1" x14ac:dyDescent="0.25">
      <c r="A5390">
        <v>106</v>
      </c>
    </row>
    <row r="5391" spans="1:1" x14ac:dyDescent="0.25">
      <c r="A5391">
        <v>113</v>
      </c>
    </row>
    <row r="5392" spans="1:1" x14ac:dyDescent="0.25">
      <c r="A5392">
        <v>5</v>
      </c>
    </row>
    <row r="5393" spans="1:1" x14ac:dyDescent="0.25">
      <c r="A5393">
        <v>583</v>
      </c>
    </row>
    <row r="5394" spans="1:1" x14ac:dyDescent="0.25">
      <c r="A5394" t="s">
        <v>1585</v>
      </c>
    </row>
    <row r="5395" spans="1:1" x14ac:dyDescent="0.25">
      <c r="A5395" t="s">
        <v>712</v>
      </c>
    </row>
    <row r="5396" spans="1:1" x14ac:dyDescent="0.25">
      <c r="A5396" t="s">
        <v>865</v>
      </c>
    </row>
    <row r="5397" spans="1:1" x14ac:dyDescent="0.25">
      <c r="A5397">
        <v>1591</v>
      </c>
    </row>
    <row r="5398" spans="1:1" x14ac:dyDescent="0.25">
      <c r="A5398">
        <v>151</v>
      </c>
    </row>
    <row r="5399" spans="1:1" x14ac:dyDescent="0.25">
      <c r="A5399">
        <v>138</v>
      </c>
    </row>
    <row r="5400" spans="1:1" x14ac:dyDescent="0.25">
      <c r="A5400">
        <v>139</v>
      </c>
    </row>
    <row r="5401" spans="1:1" x14ac:dyDescent="0.25">
      <c r="A5401">
        <v>5</v>
      </c>
    </row>
    <row r="5402" spans="1:1" x14ac:dyDescent="0.25">
      <c r="A5402">
        <v>584</v>
      </c>
    </row>
    <row r="5403" spans="1:1" x14ac:dyDescent="0.25">
      <c r="A5403" t="s">
        <v>1586</v>
      </c>
    </row>
    <row r="5404" spans="1:1" x14ac:dyDescent="0.25">
      <c r="A5404" t="s">
        <v>713</v>
      </c>
    </row>
    <row r="5405" spans="1:1" x14ac:dyDescent="0.25">
      <c r="A5405" t="s">
        <v>865</v>
      </c>
    </row>
    <row r="5406" spans="1:1" x14ac:dyDescent="0.25">
      <c r="A5406">
        <v>2822</v>
      </c>
    </row>
    <row r="5407" spans="1:1" x14ac:dyDescent="0.25">
      <c r="A5407">
        <v>218</v>
      </c>
    </row>
    <row r="5408" spans="1:1" x14ac:dyDescent="0.25">
      <c r="A5408">
        <v>184</v>
      </c>
    </row>
    <row r="5409" spans="1:1" x14ac:dyDescent="0.25">
      <c r="A5409">
        <v>174</v>
      </c>
    </row>
    <row r="5410" spans="1:1" x14ac:dyDescent="0.25">
      <c r="A5410">
        <v>5</v>
      </c>
    </row>
    <row r="5411" spans="1:1" x14ac:dyDescent="0.25">
      <c r="A5411">
        <v>585</v>
      </c>
    </row>
    <row r="5412" spans="1:1" x14ac:dyDescent="0.25">
      <c r="A5412" t="s">
        <v>1587</v>
      </c>
    </row>
    <row r="5413" spans="1:1" x14ac:dyDescent="0.25">
      <c r="A5413" t="s">
        <v>714</v>
      </c>
    </row>
    <row r="5414" spans="1:1" x14ac:dyDescent="0.25">
      <c r="A5414" t="s">
        <v>1588</v>
      </c>
    </row>
    <row r="5415" spans="1:1" x14ac:dyDescent="0.25">
      <c r="A5415">
        <v>1135</v>
      </c>
    </row>
    <row r="5416" spans="1:1" x14ac:dyDescent="0.25">
      <c r="A5416">
        <v>115</v>
      </c>
    </row>
    <row r="5417" spans="1:1" x14ac:dyDescent="0.25">
      <c r="A5417">
        <v>100</v>
      </c>
    </row>
    <row r="5418" spans="1:1" x14ac:dyDescent="0.25">
      <c r="A5418">
        <v>155</v>
      </c>
    </row>
    <row r="5419" spans="1:1" x14ac:dyDescent="0.25">
      <c r="A5419">
        <v>5</v>
      </c>
    </row>
    <row r="5420" spans="1:1" x14ac:dyDescent="0.25">
      <c r="A5420">
        <v>585</v>
      </c>
    </row>
    <row r="5421" spans="1:1" x14ac:dyDescent="0.25">
      <c r="A5421" t="s">
        <v>1589</v>
      </c>
    </row>
    <row r="5422" spans="1:1" x14ac:dyDescent="0.25">
      <c r="A5422" t="s">
        <v>1484</v>
      </c>
    </row>
    <row r="5423" spans="1:1" x14ac:dyDescent="0.25">
      <c r="A5423" t="s">
        <v>1588</v>
      </c>
    </row>
    <row r="5424" spans="1:1" x14ac:dyDescent="0.25">
      <c r="A5424">
        <v>1135</v>
      </c>
    </row>
    <row r="5425" spans="1:1" x14ac:dyDescent="0.25">
      <c r="A5425">
        <v>115</v>
      </c>
    </row>
    <row r="5426" spans="1:1" x14ac:dyDescent="0.25">
      <c r="A5426">
        <v>100</v>
      </c>
    </row>
    <row r="5427" spans="1:1" x14ac:dyDescent="0.25">
      <c r="A5427">
        <v>155</v>
      </c>
    </row>
    <row r="5428" spans="1:1" x14ac:dyDescent="0.25">
      <c r="A5428">
        <v>5</v>
      </c>
    </row>
    <row r="5429" spans="1:1" x14ac:dyDescent="0.25">
      <c r="A5429">
        <v>585</v>
      </c>
    </row>
    <row r="5430" spans="1:1" x14ac:dyDescent="0.25">
      <c r="A5430" t="s">
        <v>1590</v>
      </c>
    </row>
    <row r="5431" spans="1:1" x14ac:dyDescent="0.25">
      <c r="A5431" t="s">
        <v>1485</v>
      </c>
    </row>
    <row r="5432" spans="1:1" x14ac:dyDescent="0.25">
      <c r="A5432" t="s">
        <v>1588</v>
      </c>
    </row>
    <row r="5433" spans="1:1" x14ac:dyDescent="0.25">
      <c r="A5433">
        <v>1135</v>
      </c>
    </row>
    <row r="5434" spans="1:1" x14ac:dyDescent="0.25">
      <c r="A5434">
        <v>115</v>
      </c>
    </row>
    <row r="5435" spans="1:1" x14ac:dyDescent="0.25">
      <c r="A5435">
        <v>100</v>
      </c>
    </row>
    <row r="5436" spans="1:1" x14ac:dyDescent="0.25">
      <c r="A5436">
        <v>155</v>
      </c>
    </row>
    <row r="5437" spans="1:1" x14ac:dyDescent="0.25">
      <c r="A5437">
        <v>5</v>
      </c>
    </row>
    <row r="5438" spans="1:1" x14ac:dyDescent="0.25">
      <c r="A5438">
        <v>585</v>
      </c>
    </row>
    <row r="5439" spans="1:1" x14ac:dyDescent="0.25">
      <c r="A5439" t="s">
        <v>1591</v>
      </c>
    </row>
    <row r="5440" spans="1:1" x14ac:dyDescent="0.25">
      <c r="A5440" t="s">
        <v>1486</v>
      </c>
    </row>
    <row r="5441" spans="1:1" x14ac:dyDescent="0.25">
      <c r="A5441" t="s">
        <v>1588</v>
      </c>
    </row>
    <row r="5442" spans="1:1" x14ac:dyDescent="0.25">
      <c r="A5442">
        <v>1135</v>
      </c>
    </row>
    <row r="5443" spans="1:1" x14ac:dyDescent="0.25">
      <c r="A5443">
        <v>115</v>
      </c>
    </row>
    <row r="5444" spans="1:1" x14ac:dyDescent="0.25">
      <c r="A5444">
        <v>100</v>
      </c>
    </row>
    <row r="5445" spans="1:1" x14ac:dyDescent="0.25">
      <c r="A5445">
        <v>155</v>
      </c>
    </row>
    <row r="5446" spans="1:1" x14ac:dyDescent="0.25">
      <c r="A5446">
        <v>5</v>
      </c>
    </row>
    <row r="5447" spans="1:1" x14ac:dyDescent="0.25">
      <c r="A5447">
        <v>585</v>
      </c>
    </row>
    <row r="5448" spans="1:1" x14ac:dyDescent="0.25">
      <c r="A5448" t="s">
        <v>1592</v>
      </c>
    </row>
    <row r="5449" spans="1:1" x14ac:dyDescent="0.25">
      <c r="A5449" t="s">
        <v>1487</v>
      </c>
    </row>
    <row r="5450" spans="1:1" x14ac:dyDescent="0.25">
      <c r="A5450" t="s">
        <v>1588</v>
      </c>
    </row>
    <row r="5451" spans="1:1" x14ac:dyDescent="0.25">
      <c r="A5451">
        <v>1135</v>
      </c>
    </row>
    <row r="5452" spans="1:1" x14ac:dyDescent="0.25">
      <c r="A5452">
        <v>115</v>
      </c>
    </row>
    <row r="5453" spans="1:1" x14ac:dyDescent="0.25">
      <c r="A5453">
        <v>100</v>
      </c>
    </row>
    <row r="5454" spans="1:1" x14ac:dyDescent="0.25">
      <c r="A5454">
        <v>155</v>
      </c>
    </row>
    <row r="5455" spans="1:1" x14ac:dyDescent="0.25">
      <c r="A5455">
        <v>5</v>
      </c>
    </row>
    <row r="5456" spans="1:1" x14ac:dyDescent="0.25">
      <c r="A5456">
        <v>586</v>
      </c>
    </row>
    <row r="5457" spans="1:1" x14ac:dyDescent="0.25">
      <c r="A5457" t="s">
        <v>1593</v>
      </c>
    </row>
    <row r="5458" spans="1:1" x14ac:dyDescent="0.25">
      <c r="A5458" t="s">
        <v>715</v>
      </c>
    </row>
    <row r="5459" spans="1:1" x14ac:dyDescent="0.25">
      <c r="A5459" t="s">
        <v>1588</v>
      </c>
    </row>
    <row r="5460" spans="1:1" x14ac:dyDescent="0.25">
      <c r="A5460">
        <v>2416</v>
      </c>
    </row>
    <row r="5461" spans="1:1" x14ac:dyDescent="0.25">
      <c r="A5461">
        <v>198</v>
      </c>
    </row>
    <row r="5462" spans="1:1" x14ac:dyDescent="0.25">
      <c r="A5462">
        <v>146</v>
      </c>
    </row>
    <row r="5463" spans="1:1" x14ac:dyDescent="0.25">
      <c r="A5463">
        <v>190</v>
      </c>
    </row>
    <row r="5464" spans="1:1" x14ac:dyDescent="0.25">
      <c r="A5464">
        <v>5</v>
      </c>
    </row>
    <row r="5465" spans="1:1" x14ac:dyDescent="0.25">
      <c r="A5465">
        <v>586</v>
      </c>
    </row>
    <row r="5466" spans="1:1" x14ac:dyDescent="0.25">
      <c r="A5466" t="s">
        <v>1594</v>
      </c>
    </row>
    <row r="5467" spans="1:1" x14ac:dyDescent="0.25">
      <c r="A5467" t="s">
        <v>1488</v>
      </c>
    </row>
    <row r="5468" spans="1:1" x14ac:dyDescent="0.25">
      <c r="A5468" t="s">
        <v>1588</v>
      </c>
    </row>
    <row r="5469" spans="1:1" x14ac:dyDescent="0.25">
      <c r="A5469">
        <v>2416</v>
      </c>
    </row>
    <row r="5470" spans="1:1" x14ac:dyDescent="0.25">
      <c r="A5470">
        <v>198</v>
      </c>
    </row>
    <row r="5471" spans="1:1" x14ac:dyDescent="0.25">
      <c r="A5471">
        <v>146</v>
      </c>
    </row>
    <row r="5472" spans="1:1" x14ac:dyDescent="0.25">
      <c r="A5472">
        <v>190</v>
      </c>
    </row>
    <row r="5473" spans="1:1" x14ac:dyDescent="0.25">
      <c r="A5473">
        <v>5</v>
      </c>
    </row>
    <row r="5474" spans="1:1" x14ac:dyDescent="0.25">
      <c r="A5474">
        <v>586</v>
      </c>
    </row>
    <row r="5475" spans="1:1" x14ac:dyDescent="0.25">
      <c r="A5475" t="s">
        <v>1595</v>
      </c>
    </row>
    <row r="5476" spans="1:1" x14ac:dyDescent="0.25">
      <c r="A5476" t="s">
        <v>1596</v>
      </c>
    </row>
    <row r="5477" spans="1:1" x14ac:dyDescent="0.25">
      <c r="A5477" t="s">
        <v>1588</v>
      </c>
    </row>
    <row r="5478" spans="1:1" x14ac:dyDescent="0.25">
      <c r="A5478">
        <v>2416</v>
      </c>
    </row>
    <row r="5479" spans="1:1" x14ac:dyDescent="0.25">
      <c r="A5479">
        <v>198</v>
      </c>
    </row>
    <row r="5480" spans="1:1" x14ac:dyDescent="0.25">
      <c r="A5480">
        <v>146</v>
      </c>
    </row>
    <row r="5481" spans="1:1" x14ac:dyDescent="0.25">
      <c r="A5481">
        <v>190</v>
      </c>
    </row>
    <row r="5482" spans="1:1" x14ac:dyDescent="0.25">
      <c r="A5482">
        <v>5</v>
      </c>
    </row>
    <row r="5483" spans="1:1" x14ac:dyDescent="0.25">
      <c r="A5483">
        <v>586</v>
      </c>
    </row>
    <row r="5484" spans="1:1" x14ac:dyDescent="0.25">
      <c r="A5484" t="s">
        <v>1597</v>
      </c>
    </row>
    <row r="5485" spans="1:1" x14ac:dyDescent="0.25">
      <c r="A5485" t="s">
        <v>1598</v>
      </c>
    </row>
    <row r="5486" spans="1:1" x14ac:dyDescent="0.25">
      <c r="A5486" t="s">
        <v>1588</v>
      </c>
    </row>
    <row r="5487" spans="1:1" x14ac:dyDescent="0.25">
      <c r="A5487">
        <v>2416</v>
      </c>
    </row>
    <row r="5488" spans="1:1" x14ac:dyDescent="0.25">
      <c r="A5488">
        <v>198</v>
      </c>
    </row>
    <row r="5489" spans="1:1" x14ac:dyDescent="0.25">
      <c r="A5489">
        <v>146</v>
      </c>
    </row>
    <row r="5490" spans="1:1" x14ac:dyDescent="0.25">
      <c r="A5490">
        <v>190</v>
      </c>
    </row>
    <row r="5491" spans="1:1" x14ac:dyDescent="0.25">
      <c r="A5491">
        <v>5</v>
      </c>
    </row>
    <row r="5492" spans="1:1" x14ac:dyDescent="0.25">
      <c r="A5492">
        <v>586</v>
      </c>
    </row>
    <row r="5493" spans="1:1" x14ac:dyDescent="0.25">
      <c r="A5493" t="s">
        <v>1599</v>
      </c>
    </row>
    <row r="5494" spans="1:1" x14ac:dyDescent="0.25">
      <c r="A5494" t="s">
        <v>1600</v>
      </c>
    </row>
    <row r="5495" spans="1:1" x14ac:dyDescent="0.25">
      <c r="A5495" t="s">
        <v>1588</v>
      </c>
    </row>
    <row r="5496" spans="1:1" x14ac:dyDescent="0.25">
      <c r="A5496">
        <v>2416</v>
      </c>
    </row>
    <row r="5497" spans="1:1" x14ac:dyDescent="0.25">
      <c r="A5497">
        <v>198</v>
      </c>
    </row>
    <row r="5498" spans="1:1" x14ac:dyDescent="0.25">
      <c r="A5498">
        <v>146</v>
      </c>
    </row>
    <row r="5499" spans="1:1" x14ac:dyDescent="0.25">
      <c r="A5499">
        <v>190</v>
      </c>
    </row>
    <row r="5500" spans="1:1" x14ac:dyDescent="0.25">
      <c r="A5500">
        <v>5</v>
      </c>
    </row>
    <row r="5501" spans="1:1" x14ac:dyDescent="0.25">
      <c r="A5501">
        <v>587</v>
      </c>
    </row>
    <row r="5502" spans="1:1" x14ac:dyDescent="0.25">
      <c r="A5502" t="s">
        <v>1601</v>
      </c>
    </row>
    <row r="5503" spans="1:1" x14ac:dyDescent="0.25">
      <c r="A5503" t="s">
        <v>693</v>
      </c>
    </row>
    <row r="5504" spans="1:1" x14ac:dyDescent="0.25">
      <c r="A5504" t="s">
        <v>1027</v>
      </c>
    </row>
    <row r="5505" spans="1:1" x14ac:dyDescent="0.25">
      <c r="A5505">
        <v>1633</v>
      </c>
    </row>
    <row r="5506" spans="1:1" x14ac:dyDescent="0.25">
      <c r="A5506">
        <v>158</v>
      </c>
    </row>
    <row r="5507" spans="1:1" x14ac:dyDescent="0.25">
      <c r="A5507">
        <v>127</v>
      </c>
    </row>
    <row r="5508" spans="1:1" x14ac:dyDescent="0.25">
      <c r="A5508">
        <v>146</v>
      </c>
    </row>
    <row r="5509" spans="1:1" x14ac:dyDescent="0.25">
      <c r="A5509">
        <v>5</v>
      </c>
    </row>
    <row r="5510" spans="1:1" x14ac:dyDescent="0.25">
      <c r="A5510">
        <v>588</v>
      </c>
    </row>
    <row r="5511" spans="1:1" x14ac:dyDescent="0.25">
      <c r="A5511" t="s">
        <v>1602</v>
      </c>
    </row>
    <row r="5512" spans="1:1" x14ac:dyDescent="0.25">
      <c r="A5512" t="s">
        <v>473</v>
      </c>
    </row>
    <row r="5513" spans="1:1" x14ac:dyDescent="0.25">
      <c r="A5513" t="s">
        <v>813</v>
      </c>
    </row>
    <row r="5514" spans="1:1" x14ac:dyDescent="0.25">
      <c r="A5514">
        <v>1182</v>
      </c>
    </row>
    <row r="5515" spans="1:1" x14ac:dyDescent="0.25">
      <c r="A5515">
        <v>137</v>
      </c>
    </row>
    <row r="5516" spans="1:1" x14ac:dyDescent="0.25">
      <c r="A5516">
        <v>87</v>
      </c>
    </row>
    <row r="5517" spans="1:1" x14ac:dyDescent="0.25">
      <c r="A5517">
        <v>137</v>
      </c>
    </row>
    <row r="5518" spans="1:1" x14ac:dyDescent="0.25">
      <c r="A5518">
        <v>5</v>
      </c>
    </row>
    <row r="5519" spans="1:1" x14ac:dyDescent="0.25">
      <c r="A5519">
        <v>589</v>
      </c>
    </row>
    <row r="5520" spans="1:1" x14ac:dyDescent="0.25">
      <c r="A5520" t="s">
        <v>1603</v>
      </c>
    </row>
    <row r="5521" spans="1:1" x14ac:dyDescent="0.25">
      <c r="A5521" t="s">
        <v>474</v>
      </c>
    </row>
    <row r="5522" spans="1:1" x14ac:dyDescent="0.25">
      <c r="A5522" t="s">
        <v>1102</v>
      </c>
    </row>
    <row r="5523" spans="1:1" x14ac:dyDescent="0.25">
      <c r="A5523">
        <v>2889</v>
      </c>
    </row>
    <row r="5524" spans="1:1" x14ac:dyDescent="0.25">
      <c r="A5524">
        <v>223</v>
      </c>
    </row>
    <row r="5525" spans="1:1" x14ac:dyDescent="0.25">
      <c r="A5525">
        <v>187</v>
      </c>
    </row>
    <row r="5526" spans="1:1" x14ac:dyDescent="0.25">
      <c r="A5526">
        <v>172</v>
      </c>
    </row>
    <row r="5527" spans="1:1" x14ac:dyDescent="0.25">
      <c r="A5527">
        <v>5</v>
      </c>
    </row>
    <row r="5528" spans="1:1" x14ac:dyDescent="0.25">
      <c r="A5528">
        <v>590</v>
      </c>
    </row>
    <row r="5529" spans="1:1" x14ac:dyDescent="0.25">
      <c r="A5529" t="s">
        <v>1604</v>
      </c>
    </row>
    <row r="5530" spans="1:1" x14ac:dyDescent="0.25">
      <c r="A5530" t="s">
        <v>475</v>
      </c>
    </row>
    <row r="5531" spans="1:1" x14ac:dyDescent="0.25">
      <c r="A5531" t="s">
        <v>800</v>
      </c>
    </row>
    <row r="5532" spans="1:1" x14ac:dyDescent="0.25">
      <c r="A5532">
        <v>979</v>
      </c>
    </row>
    <row r="5533" spans="1:1" x14ac:dyDescent="0.25">
      <c r="A5533">
        <v>97</v>
      </c>
    </row>
    <row r="5534" spans="1:1" x14ac:dyDescent="0.25">
      <c r="A5534">
        <v>91</v>
      </c>
    </row>
    <row r="5535" spans="1:1" x14ac:dyDescent="0.25">
      <c r="A5535">
        <v>170</v>
      </c>
    </row>
    <row r="5536" spans="1:1" x14ac:dyDescent="0.25">
      <c r="A5536">
        <v>5</v>
      </c>
    </row>
    <row r="5537" spans="1:1" x14ac:dyDescent="0.25">
      <c r="A5537">
        <v>591</v>
      </c>
    </row>
    <row r="5538" spans="1:1" x14ac:dyDescent="0.25">
      <c r="A5538" t="s">
        <v>1605</v>
      </c>
    </row>
    <row r="5539" spans="1:1" x14ac:dyDescent="0.25">
      <c r="A5539" t="s">
        <v>476</v>
      </c>
    </row>
    <row r="5540" spans="1:1" x14ac:dyDescent="0.25">
      <c r="A5540" t="s">
        <v>800</v>
      </c>
    </row>
    <row r="5541" spans="1:1" x14ac:dyDescent="0.25">
      <c r="A5541">
        <v>2140</v>
      </c>
    </row>
    <row r="5542" spans="1:1" x14ac:dyDescent="0.25">
      <c r="A5542">
        <v>155</v>
      </c>
    </row>
    <row r="5543" spans="1:1" x14ac:dyDescent="0.25">
      <c r="A5543">
        <v>139</v>
      </c>
    </row>
    <row r="5544" spans="1:1" x14ac:dyDescent="0.25">
      <c r="A5544">
        <v>249</v>
      </c>
    </row>
    <row r="5545" spans="1:1" x14ac:dyDescent="0.25">
      <c r="A5545">
        <v>5</v>
      </c>
    </row>
    <row r="5546" spans="1:1" x14ac:dyDescent="0.25">
      <c r="A5546">
        <v>592</v>
      </c>
    </row>
    <row r="5547" spans="1:1" x14ac:dyDescent="0.25">
      <c r="A5547" t="s">
        <v>1606</v>
      </c>
    </row>
    <row r="5548" spans="1:1" x14ac:dyDescent="0.25">
      <c r="A5548" t="s">
        <v>716</v>
      </c>
    </row>
    <row r="5549" spans="1:1" x14ac:dyDescent="0.25">
      <c r="A5549" t="s">
        <v>1607</v>
      </c>
    </row>
    <row r="5550" spans="1:1" x14ac:dyDescent="0.25">
      <c r="A5550">
        <v>1257</v>
      </c>
    </row>
    <row r="5551" spans="1:1" x14ac:dyDescent="0.25">
      <c r="A5551">
        <v>115</v>
      </c>
    </row>
    <row r="5552" spans="1:1" x14ac:dyDescent="0.25">
      <c r="A5552">
        <v>134</v>
      </c>
    </row>
    <row r="5553" spans="1:1" x14ac:dyDescent="0.25">
      <c r="A5553">
        <v>146</v>
      </c>
    </row>
    <row r="5554" spans="1:1" x14ac:dyDescent="0.25">
      <c r="A5554">
        <v>5</v>
      </c>
    </row>
    <row r="5555" spans="1:1" x14ac:dyDescent="0.25">
      <c r="A5555">
        <v>593</v>
      </c>
    </row>
    <row r="5556" spans="1:1" x14ac:dyDescent="0.25">
      <c r="A5556" t="s">
        <v>1608</v>
      </c>
    </row>
    <row r="5557" spans="1:1" x14ac:dyDescent="0.25">
      <c r="A5557" t="s">
        <v>717</v>
      </c>
    </row>
    <row r="5558" spans="1:1" x14ac:dyDescent="0.25">
      <c r="A5558" t="s">
        <v>1607</v>
      </c>
    </row>
    <row r="5559" spans="1:1" x14ac:dyDescent="0.25">
      <c r="A5559">
        <v>2338</v>
      </c>
    </row>
    <row r="5560" spans="1:1" x14ac:dyDescent="0.25">
      <c r="A5560">
        <v>159</v>
      </c>
    </row>
    <row r="5561" spans="1:1" x14ac:dyDescent="0.25">
      <c r="A5561">
        <v>178</v>
      </c>
    </row>
    <row r="5562" spans="1:1" x14ac:dyDescent="0.25">
      <c r="A5562">
        <v>225</v>
      </c>
    </row>
    <row r="5563" spans="1:1" x14ac:dyDescent="0.25">
      <c r="A5563">
        <v>5</v>
      </c>
    </row>
    <row r="5564" spans="1:1" x14ac:dyDescent="0.25">
      <c r="A5564">
        <v>594</v>
      </c>
    </row>
    <row r="5565" spans="1:1" x14ac:dyDescent="0.25">
      <c r="A5565" t="s">
        <v>1609</v>
      </c>
    </row>
    <row r="5566" spans="1:1" x14ac:dyDescent="0.25">
      <c r="A5566" t="s">
        <v>607</v>
      </c>
    </row>
    <row r="5567" spans="1:1" x14ac:dyDescent="0.25">
      <c r="A5567" t="s">
        <v>809</v>
      </c>
    </row>
    <row r="5568" spans="1:1" x14ac:dyDescent="0.25">
      <c r="A5568">
        <v>2169</v>
      </c>
    </row>
    <row r="5569" spans="1:1" x14ac:dyDescent="0.25">
      <c r="A5569">
        <v>138</v>
      </c>
    </row>
    <row r="5570" spans="1:1" x14ac:dyDescent="0.25">
      <c r="A5570">
        <v>131</v>
      </c>
    </row>
    <row r="5571" spans="1:1" x14ac:dyDescent="0.25">
      <c r="A5571">
        <v>338</v>
      </c>
    </row>
    <row r="5572" spans="1:1" x14ac:dyDescent="0.25">
      <c r="A5572">
        <v>5</v>
      </c>
    </row>
    <row r="5573" spans="1:1" x14ac:dyDescent="0.25">
      <c r="A5573">
        <v>595</v>
      </c>
    </row>
    <row r="5574" spans="1:1" x14ac:dyDescent="0.25">
      <c r="A5574" t="s">
        <v>1610</v>
      </c>
    </row>
    <row r="5575" spans="1:1" x14ac:dyDescent="0.25">
      <c r="A5575" t="s">
        <v>477</v>
      </c>
    </row>
    <row r="5576" spans="1:1" x14ac:dyDescent="0.25">
      <c r="A5576" t="s">
        <v>1611</v>
      </c>
    </row>
    <row r="5577" spans="1:1" x14ac:dyDescent="0.25">
      <c r="A5577">
        <v>1023</v>
      </c>
    </row>
    <row r="5578" spans="1:1" x14ac:dyDescent="0.25">
      <c r="A5578">
        <v>110</v>
      </c>
    </row>
    <row r="5579" spans="1:1" x14ac:dyDescent="0.25">
      <c r="A5579">
        <v>98</v>
      </c>
    </row>
    <row r="5580" spans="1:1" x14ac:dyDescent="0.25">
      <c r="A5580">
        <v>137</v>
      </c>
    </row>
    <row r="5581" spans="1:1" x14ac:dyDescent="0.25">
      <c r="A5581">
        <v>5</v>
      </c>
    </row>
    <row r="5582" spans="1:1" x14ac:dyDescent="0.25">
      <c r="A5582">
        <v>596</v>
      </c>
    </row>
    <row r="5583" spans="1:1" x14ac:dyDescent="0.25">
      <c r="A5583" t="s">
        <v>1612</v>
      </c>
    </row>
    <row r="5584" spans="1:1" x14ac:dyDescent="0.25">
      <c r="A5584" t="s">
        <v>478</v>
      </c>
    </row>
    <row r="5585" spans="1:1" x14ac:dyDescent="0.25">
      <c r="A5585" t="s">
        <v>1611</v>
      </c>
    </row>
    <row r="5586" spans="1:1" x14ac:dyDescent="0.25">
      <c r="A5586">
        <v>2206</v>
      </c>
    </row>
    <row r="5587" spans="1:1" x14ac:dyDescent="0.25">
      <c r="A5587">
        <v>201</v>
      </c>
    </row>
    <row r="5588" spans="1:1" x14ac:dyDescent="0.25">
      <c r="A5588">
        <v>128</v>
      </c>
    </row>
    <row r="5589" spans="1:1" x14ac:dyDescent="0.25">
      <c r="A5589">
        <v>172</v>
      </c>
    </row>
    <row r="5590" spans="1:1" x14ac:dyDescent="0.25">
      <c r="A5590">
        <v>5</v>
      </c>
    </row>
    <row r="5591" spans="1:1" x14ac:dyDescent="0.25">
      <c r="A5591">
        <v>597</v>
      </c>
    </row>
    <row r="5592" spans="1:1" x14ac:dyDescent="0.25">
      <c r="A5592" t="s">
        <v>1613</v>
      </c>
    </row>
    <row r="5593" spans="1:1" x14ac:dyDescent="0.25">
      <c r="A5593" t="s">
        <v>479</v>
      </c>
    </row>
    <row r="5594" spans="1:1" x14ac:dyDescent="0.25">
      <c r="A5594" t="s">
        <v>1614</v>
      </c>
    </row>
    <row r="5595" spans="1:1" x14ac:dyDescent="0.25">
      <c r="A5595">
        <v>941</v>
      </c>
    </row>
    <row r="5596" spans="1:1" x14ac:dyDescent="0.25">
      <c r="A5596">
        <v>82</v>
      </c>
    </row>
    <row r="5597" spans="1:1" x14ac:dyDescent="0.25">
      <c r="A5597">
        <v>155</v>
      </c>
    </row>
    <row r="5598" spans="1:1" x14ac:dyDescent="0.25">
      <c r="A5598">
        <v>127</v>
      </c>
    </row>
    <row r="5599" spans="1:1" x14ac:dyDescent="0.25">
      <c r="A5599">
        <v>5</v>
      </c>
    </row>
    <row r="5600" spans="1:1" x14ac:dyDescent="0.25">
      <c r="A5600">
        <v>598</v>
      </c>
    </row>
    <row r="5601" spans="1:1" x14ac:dyDescent="0.25">
      <c r="A5601" t="s">
        <v>1615</v>
      </c>
    </row>
    <row r="5602" spans="1:1" x14ac:dyDescent="0.25">
      <c r="A5602" t="s">
        <v>480</v>
      </c>
    </row>
    <row r="5603" spans="1:1" x14ac:dyDescent="0.25">
      <c r="A5603" t="s">
        <v>1614</v>
      </c>
    </row>
    <row r="5604" spans="1:1" x14ac:dyDescent="0.25">
      <c r="A5604">
        <v>2321</v>
      </c>
    </row>
    <row r="5605" spans="1:1" x14ac:dyDescent="0.25">
      <c r="A5605">
        <v>158</v>
      </c>
    </row>
    <row r="5606" spans="1:1" x14ac:dyDescent="0.25">
      <c r="A5606">
        <v>223</v>
      </c>
    </row>
    <row r="5607" spans="1:1" x14ac:dyDescent="0.25">
      <c r="A5607">
        <v>179</v>
      </c>
    </row>
    <row r="5608" spans="1:1" x14ac:dyDescent="0.25">
      <c r="A5608">
        <v>5</v>
      </c>
    </row>
    <row r="5609" spans="1:1" x14ac:dyDescent="0.25">
      <c r="A5609">
        <v>599</v>
      </c>
    </row>
    <row r="5610" spans="1:1" x14ac:dyDescent="0.25">
      <c r="A5610" t="s">
        <v>1616</v>
      </c>
    </row>
    <row r="5611" spans="1:1" x14ac:dyDescent="0.25">
      <c r="A5611" t="s">
        <v>608</v>
      </c>
    </row>
    <row r="5612" spans="1:1" x14ac:dyDescent="0.25">
      <c r="A5612" t="s">
        <v>1479</v>
      </c>
    </row>
    <row r="5613" spans="1:1" x14ac:dyDescent="0.25">
      <c r="A5613">
        <v>956</v>
      </c>
    </row>
    <row r="5614" spans="1:1" x14ac:dyDescent="0.25">
      <c r="A5614">
        <v>98</v>
      </c>
    </row>
    <row r="5615" spans="1:1" x14ac:dyDescent="0.25">
      <c r="A5615">
        <v>121</v>
      </c>
    </row>
    <row r="5616" spans="1:1" x14ac:dyDescent="0.25">
      <c r="A5616">
        <v>120</v>
      </c>
    </row>
    <row r="5617" spans="1:1" x14ac:dyDescent="0.25">
      <c r="A5617">
        <v>5</v>
      </c>
    </row>
    <row r="5618" spans="1:1" x14ac:dyDescent="0.25">
      <c r="A5618">
        <v>600</v>
      </c>
    </row>
    <row r="5619" spans="1:1" x14ac:dyDescent="0.25">
      <c r="A5619" t="s">
        <v>1617</v>
      </c>
    </row>
    <row r="5620" spans="1:1" x14ac:dyDescent="0.25">
      <c r="A5620" t="s">
        <v>609</v>
      </c>
    </row>
    <row r="5621" spans="1:1" x14ac:dyDescent="0.25">
      <c r="A5621" t="s">
        <v>1479</v>
      </c>
    </row>
    <row r="5622" spans="1:1" x14ac:dyDescent="0.25">
      <c r="A5622">
        <v>1847</v>
      </c>
    </row>
    <row r="5623" spans="1:1" x14ac:dyDescent="0.25">
      <c r="A5623">
        <v>150</v>
      </c>
    </row>
    <row r="5624" spans="1:1" x14ac:dyDescent="0.25">
      <c r="A5624">
        <v>174</v>
      </c>
    </row>
    <row r="5625" spans="1:1" x14ac:dyDescent="0.25">
      <c r="A5625">
        <v>155</v>
      </c>
    </row>
    <row r="5626" spans="1:1" x14ac:dyDescent="0.25">
      <c r="A5626">
        <v>5</v>
      </c>
    </row>
    <row r="5627" spans="1:1" x14ac:dyDescent="0.25">
      <c r="A5627">
        <v>601</v>
      </c>
    </row>
    <row r="5628" spans="1:1" x14ac:dyDescent="0.25">
      <c r="A5628" t="s">
        <v>1618</v>
      </c>
    </row>
    <row r="5629" spans="1:1" x14ac:dyDescent="0.25">
      <c r="A5629" t="s">
        <v>610</v>
      </c>
    </row>
    <row r="5630" spans="1:1" x14ac:dyDescent="0.25">
      <c r="A5630" t="s">
        <v>1479</v>
      </c>
    </row>
    <row r="5631" spans="1:1" x14ac:dyDescent="0.25">
      <c r="A5631">
        <v>2637</v>
      </c>
    </row>
    <row r="5632" spans="1:1" x14ac:dyDescent="0.25">
      <c r="A5632">
        <v>199</v>
      </c>
    </row>
    <row r="5633" spans="1:1" x14ac:dyDescent="0.25">
      <c r="A5633">
        <v>214</v>
      </c>
    </row>
    <row r="5634" spans="1:1" x14ac:dyDescent="0.25">
      <c r="A5634">
        <v>155</v>
      </c>
    </row>
    <row r="5635" spans="1:1" x14ac:dyDescent="0.25">
      <c r="A5635">
        <v>5</v>
      </c>
    </row>
    <row r="5636" spans="1:1" x14ac:dyDescent="0.25">
      <c r="A5636">
        <v>602</v>
      </c>
    </row>
    <row r="5637" spans="1:1" x14ac:dyDescent="0.25">
      <c r="A5637" t="s">
        <v>1619</v>
      </c>
    </row>
    <row r="5638" spans="1:1" x14ac:dyDescent="0.25">
      <c r="A5638" t="s">
        <v>694</v>
      </c>
    </row>
    <row r="5639" spans="1:1" x14ac:dyDescent="0.25">
      <c r="A5639" t="s">
        <v>839</v>
      </c>
    </row>
    <row r="5640" spans="1:1" x14ac:dyDescent="0.25">
      <c r="A5640">
        <v>811</v>
      </c>
    </row>
    <row r="5641" spans="1:1" x14ac:dyDescent="0.25">
      <c r="A5641">
        <v>105</v>
      </c>
    </row>
    <row r="5642" spans="1:1" x14ac:dyDescent="0.25">
      <c r="A5642">
        <v>78</v>
      </c>
    </row>
    <row r="5643" spans="1:1" x14ac:dyDescent="0.25">
      <c r="A5643">
        <v>111</v>
      </c>
    </row>
    <row r="5644" spans="1:1" x14ac:dyDescent="0.25">
      <c r="A5644">
        <v>5</v>
      </c>
    </row>
    <row r="5645" spans="1:1" x14ac:dyDescent="0.25">
      <c r="A5645">
        <v>603</v>
      </c>
    </row>
    <row r="5646" spans="1:1" x14ac:dyDescent="0.25">
      <c r="A5646" t="s">
        <v>1620</v>
      </c>
    </row>
    <row r="5647" spans="1:1" x14ac:dyDescent="0.25">
      <c r="A5647" t="s">
        <v>695</v>
      </c>
    </row>
    <row r="5648" spans="1:1" x14ac:dyDescent="0.25">
      <c r="A5648" t="s">
        <v>839</v>
      </c>
    </row>
    <row r="5649" spans="1:1" x14ac:dyDescent="0.25">
      <c r="A5649">
        <v>1715</v>
      </c>
    </row>
    <row r="5650" spans="1:1" x14ac:dyDescent="0.25">
      <c r="A5650">
        <v>156</v>
      </c>
    </row>
    <row r="5651" spans="1:1" x14ac:dyDescent="0.25">
      <c r="A5651">
        <v>130</v>
      </c>
    </row>
    <row r="5652" spans="1:1" x14ac:dyDescent="0.25">
      <c r="A5652">
        <v>163</v>
      </c>
    </row>
    <row r="5653" spans="1:1" x14ac:dyDescent="0.25">
      <c r="A5653">
        <v>5</v>
      </c>
    </row>
    <row r="5654" spans="1:1" x14ac:dyDescent="0.25">
      <c r="A5654">
        <v>604</v>
      </c>
    </row>
    <row r="5655" spans="1:1" x14ac:dyDescent="0.25">
      <c r="A5655" t="s">
        <v>1621</v>
      </c>
    </row>
    <row r="5656" spans="1:1" x14ac:dyDescent="0.25">
      <c r="A5656" t="s">
        <v>696</v>
      </c>
    </row>
    <row r="5657" spans="1:1" x14ac:dyDescent="0.25">
      <c r="A5657" t="s">
        <v>839</v>
      </c>
    </row>
    <row r="5658" spans="1:1" x14ac:dyDescent="0.25">
      <c r="A5658">
        <v>2732</v>
      </c>
    </row>
    <row r="5659" spans="1:1" x14ac:dyDescent="0.25">
      <c r="A5659">
        <v>217</v>
      </c>
    </row>
    <row r="5660" spans="1:1" x14ac:dyDescent="0.25">
      <c r="A5660">
        <v>152</v>
      </c>
    </row>
    <row r="5661" spans="1:1" x14ac:dyDescent="0.25">
      <c r="A5661">
        <v>198</v>
      </c>
    </row>
    <row r="5662" spans="1:1" x14ac:dyDescent="0.25">
      <c r="A5662">
        <v>5</v>
      </c>
    </row>
    <row r="5663" spans="1:1" x14ac:dyDescent="0.25">
      <c r="A5663">
        <v>605</v>
      </c>
    </row>
    <row r="5664" spans="1:1" x14ac:dyDescent="0.25">
      <c r="A5664" t="s">
        <v>1622</v>
      </c>
    </row>
    <row r="5665" spans="1:1" x14ac:dyDescent="0.25">
      <c r="A5665" t="s">
        <v>718</v>
      </c>
    </row>
    <row r="5666" spans="1:1" x14ac:dyDescent="0.25">
      <c r="A5666" t="s">
        <v>910</v>
      </c>
    </row>
    <row r="5667" spans="1:1" x14ac:dyDescent="0.25">
      <c r="A5667">
        <v>1385</v>
      </c>
    </row>
    <row r="5668" spans="1:1" x14ac:dyDescent="0.25">
      <c r="A5668">
        <v>148</v>
      </c>
    </row>
    <row r="5669" spans="1:1" x14ac:dyDescent="0.25">
      <c r="A5669">
        <v>100</v>
      </c>
    </row>
    <row r="5670" spans="1:1" x14ac:dyDescent="0.25">
      <c r="A5670">
        <v>146</v>
      </c>
    </row>
    <row r="5671" spans="1:1" x14ac:dyDescent="0.25">
      <c r="A5671">
        <v>5</v>
      </c>
    </row>
    <row r="5672" spans="1:1" x14ac:dyDescent="0.25">
      <c r="A5672">
        <v>606</v>
      </c>
    </row>
    <row r="5673" spans="1:1" x14ac:dyDescent="0.25">
      <c r="A5673" t="s">
        <v>1623</v>
      </c>
    </row>
    <row r="5674" spans="1:1" x14ac:dyDescent="0.25">
      <c r="A5674" t="s">
        <v>719</v>
      </c>
    </row>
    <row r="5675" spans="1:1" x14ac:dyDescent="0.25">
      <c r="A5675" t="s">
        <v>910</v>
      </c>
    </row>
    <row r="5676" spans="1:1" x14ac:dyDescent="0.25">
      <c r="A5676">
        <v>2753</v>
      </c>
    </row>
    <row r="5677" spans="1:1" x14ac:dyDescent="0.25">
      <c r="A5677">
        <v>221</v>
      </c>
    </row>
    <row r="5678" spans="1:1" x14ac:dyDescent="0.25">
      <c r="A5678">
        <v>163</v>
      </c>
    </row>
    <row r="5679" spans="1:1" x14ac:dyDescent="0.25">
      <c r="A5679">
        <v>181</v>
      </c>
    </row>
    <row r="5680" spans="1:1" x14ac:dyDescent="0.25">
      <c r="A5680">
        <v>5</v>
      </c>
    </row>
    <row r="5681" spans="1:1" x14ac:dyDescent="0.25">
      <c r="A5681">
        <v>607</v>
      </c>
    </row>
    <row r="5682" spans="1:1" x14ac:dyDescent="0.25">
      <c r="A5682" t="s">
        <v>1624</v>
      </c>
    </row>
    <row r="5683" spans="1:1" x14ac:dyDescent="0.25">
      <c r="A5683" t="s">
        <v>611</v>
      </c>
    </row>
    <row r="5684" spans="1:1" x14ac:dyDescent="0.25">
      <c r="A5684" t="s">
        <v>1625</v>
      </c>
    </row>
    <row r="5685" spans="1:1" x14ac:dyDescent="0.25">
      <c r="A5685">
        <v>1006</v>
      </c>
    </row>
    <row r="5686" spans="1:1" x14ac:dyDescent="0.25">
      <c r="A5686">
        <v>108</v>
      </c>
    </row>
    <row r="5687" spans="1:1" x14ac:dyDescent="0.25">
      <c r="A5687">
        <v>98</v>
      </c>
    </row>
    <row r="5688" spans="1:1" x14ac:dyDescent="0.25">
      <c r="A5688">
        <v>137</v>
      </c>
    </row>
    <row r="5689" spans="1:1" x14ac:dyDescent="0.25">
      <c r="A5689">
        <v>5</v>
      </c>
    </row>
    <row r="5690" spans="1:1" x14ac:dyDescent="0.25">
      <c r="A5690">
        <v>608</v>
      </c>
    </row>
    <row r="5691" spans="1:1" x14ac:dyDescent="0.25">
      <c r="A5691" t="s">
        <v>1626</v>
      </c>
    </row>
    <row r="5692" spans="1:1" x14ac:dyDescent="0.25">
      <c r="A5692" t="s">
        <v>612</v>
      </c>
    </row>
    <row r="5693" spans="1:1" x14ac:dyDescent="0.25">
      <c r="A5693" t="s">
        <v>1625</v>
      </c>
    </row>
    <row r="5694" spans="1:1" x14ac:dyDescent="0.25">
      <c r="A5694">
        <v>1708</v>
      </c>
    </row>
    <row r="5695" spans="1:1" x14ac:dyDescent="0.25">
      <c r="A5695">
        <v>169</v>
      </c>
    </row>
    <row r="5696" spans="1:1" x14ac:dyDescent="0.25">
      <c r="A5696">
        <v>115</v>
      </c>
    </row>
    <row r="5697" spans="1:1" x14ac:dyDescent="0.25">
      <c r="A5697">
        <v>155</v>
      </c>
    </row>
    <row r="5698" spans="1:1" x14ac:dyDescent="0.25">
      <c r="A5698">
        <v>5</v>
      </c>
    </row>
    <row r="5699" spans="1:1" x14ac:dyDescent="0.25">
      <c r="A5699">
        <v>609</v>
      </c>
    </row>
    <row r="5700" spans="1:1" x14ac:dyDescent="0.25">
      <c r="A5700" t="s">
        <v>1627</v>
      </c>
    </row>
    <row r="5701" spans="1:1" x14ac:dyDescent="0.25">
      <c r="A5701" t="s">
        <v>613</v>
      </c>
    </row>
    <row r="5702" spans="1:1" x14ac:dyDescent="0.25">
      <c r="A5702" t="s">
        <v>1625</v>
      </c>
    </row>
    <row r="5703" spans="1:1" x14ac:dyDescent="0.25">
      <c r="A5703">
        <v>3268</v>
      </c>
    </row>
    <row r="5704" spans="1:1" x14ac:dyDescent="0.25">
      <c r="A5704">
        <v>271</v>
      </c>
    </row>
    <row r="5705" spans="1:1" x14ac:dyDescent="0.25">
      <c r="A5705">
        <v>182</v>
      </c>
    </row>
    <row r="5706" spans="1:1" x14ac:dyDescent="0.25">
      <c r="A5706">
        <v>155</v>
      </c>
    </row>
    <row r="5707" spans="1:1" x14ac:dyDescent="0.25">
      <c r="A5707">
        <v>5</v>
      </c>
    </row>
    <row r="5708" spans="1:1" x14ac:dyDescent="0.25">
      <c r="A5708">
        <v>610</v>
      </c>
    </row>
    <row r="5709" spans="1:1" x14ac:dyDescent="0.25">
      <c r="A5709" t="s">
        <v>1628</v>
      </c>
    </row>
    <row r="5710" spans="1:1" x14ac:dyDescent="0.25">
      <c r="A5710" t="s">
        <v>614</v>
      </c>
    </row>
    <row r="5711" spans="1:1" x14ac:dyDescent="0.25">
      <c r="A5711" t="s">
        <v>1030</v>
      </c>
    </row>
    <row r="5712" spans="1:1" x14ac:dyDescent="0.25">
      <c r="A5712">
        <v>1368</v>
      </c>
    </row>
    <row r="5713" spans="1:1" x14ac:dyDescent="0.25">
      <c r="A5713">
        <v>154</v>
      </c>
    </row>
    <row r="5714" spans="1:1" x14ac:dyDescent="0.25">
      <c r="A5714">
        <v>101</v>
      </c>
    </row>
    <row r="5715" spans="1:1" x14ac:dyDescent="0.25">
      <c r="A5715">
        <v>130</v>
      </c>
    </row>
    <row r="5716" spans="1:1" x14ac:dyDescent="0.25">
      <c r="A5716">
        <v>5</v>
      </c>
    </row>
    <row r="5717" spans="1:1" x14ac:dyDescent="0.25">
      <c r="A5717">
        <v>611</v>
      </c>
    </row>
    <row r="5718" spans="1:1" x14ac:dyDescent="0.25">
      <c r="A5718" t="s">
        <v>1629</v>
      </c>
    </row>
    <row r="5719" spans="1:1" x14ac:dyDescent="0.25">
      <c r="A5719" t="s">
        <v>615</v>
      </c>
    </row>
    <row r="5720" spans="1:1" x14ac:dyDescent="0.25">
      <c r="A5720" t="s">
        <v>1030</v>
      </c>
    </row>
    <row r="5721" spans="1:1" x14ac:dyDescent="0.25">
      <c r="A5721">
        <v>2234</v>
      </c>
    </row>
    <row r="5722" spans="1:1" x14ac:dyDescent="0.25">
      <c r="A5722">
        <v>212</v>
      </c>
    </row>
    <row r="5723" spans="1:1" x14ac:dyDescent="0.25">
      <c r="A5723">
        <v>123</v>
      </c>
    </row>
    <row r="5724" spans="1:1" x14ac:dyDescent="0.25">
      <c r="A5724">
        <v>165</v>
      </c>
    </row>
    <row r="5725" spans="1:1" x14ac:dyDescent="0.25">
      <c r="A5725">
        <v>5</v>
      </c>
    </row>
    <row r="5726" spans="1:1" x14ac:dyDescent="0.25">
      <c r="A5726">
        <v>612</v>
      </c>
    </row>
    <row r="5727" spans="1:1" x14ac:dyDescent="0.25">
      <c r="A5727" t="s">
        <v>1630</v>
      </c>
    </row>
    <row r="5728" spans="1:1" x14ac:dyDescent="0.25">
      <c r="A5728" t="s">
        <v>616</v>
      </c>
    </row>
    <row r="5729" spans="1:1" x14ac:dyDescent="0.25">
      <c r="A5729" t="s">
        <v>1030</v>
      </c>
    </row>
    <row r="5730" spans="1:1" x14ac:dyDescent="0.25">
      <c r="A5730">
        <v>3593</v>
      </c>
    </row>
    <row r="5731" spans="1:1" x14ac:dyDescent="0.25">
      <c r="A5731">
        <v>284</v>
      </c>
    </row>
    <row r="5732" spans="1:1" x14ac:dyDescent="0.25">
      <c r="A5732">
        <v>172</v>
      </c>
    </row>
    <row r="5733" spans="1:1" x14ac:dyDescent="0.25">
      <c r="A5733">
        <v>183</v>
      </c>
    </row>
    <row r="5734" spans="1:1" x14ac:dyDescent="0.25">
      <c r="A5734">
        <v>5</v>
      </c>
    </row>
    <row r="5735" spans="1:1" x14ac:dyDescent="0.25">
      <c r="A5735">
        <v>613</v>
      </c>
    </row>
    <row r="5736" spans="1:1" x14ac:dyDescent="0.25">
      <c r="A5736" t="s">
        <v>1631</v>
      </c>
    </row>
    <row r="5737" spans="1:1" x14ac:dyDescent="0.25">
      <c r="A5737" t="s">
        <v>481</v>
      </c>
    </row>
    <row r="5738" spans="1:1" x14ac:dyDescent="0.25">
      <c r="A5738" t="s">
        <v>865</v>
      </c>
    </row>
    <row r="5739" spans="1:1" x14ac:dyDescent="0.25">
      <c r="A5739">
        <v>1069</v>
      </c>
    </row>
    <row r="5740" spans="1:1" x14ac:dyDescent="0.25">
      <c r="A5740">
        <v>128</v>
      </c>
    </row>
    <row r="5741" spans="1:1" x14ac:dyDescent="0.25">
      <c r="A5741">
        <v>74</v>
      </c>
    </row>
    <row r="5742" spans="1:1" x14ac:dyDescent="0.25">
      <c r="A5742">
        <v>146</v>
      </c>
    </row>
    <row r="5743" spans="1:1" x14ac:dyDescent="0.25">
      <c r="A5743">
        <v>5</v>
      </c>
    </row>
    <row r="5744" spans="1:1" x14ac:dyDescent="0.25">
      <c r="A5744">
        <v>614</v>
      </c>
    </row>
    <row r="5745" spans="1:1" x14ac:dyDescent="0.25">
      <c r="A5745" t="s">
        <v>1632</v>
      </c>
    </row>
    <row r="5746" spans="1:1" x14ac:dyDescent="0.25">
      <c r="A5746" t="s">
        <v>482</v>
      </c>
    </row>
    <row r="5747" spans="1:1" x14ac:dyDescent="0.25">
      <c r="A5747" t="s">
        <v>865</v>
      </c>
    </row>
    <row r="5748" spans="1:1" x14ac:dyDescent="0.25">
      <c r="A5748">
        <v>3042</v>
      </c>
    </row>
    <row r="5749" spans="1:1" x14ac:dyDescent="0.25">
      <c r="A5749">
        <v>233</v>
      </c>
    </row>
    <row r="5750" spans="1:1" x14ac:dyDescent="0.25">
      <c r="A5750">
        <v>152</v>
      </c>
    </row>
    <row r="5751" spans="1:1" x14ac:dyDescent="0.25">
      <c r="A5751">
        <v>216</v>
      </c>
    </row>
    <row r="5752" spans="1:1" x14ac:dyDescent="0.25">
      <c r="A5752">
        <v>5</v>
      </c>
    </row>
    <row r="5753" spans="1:1" x14ac:dyDescent="0.25">
      <c r="A5753">
        <v>615</v>
      </c>
    </row>
    <row r="5754" spans="1:1" x14ac:dyDescent="0.25">
      <c r="A5754" t="s">
        <v>1633</v>
      </c>
    </row>
    <row r="5755" spans="1:1" x14ac:dyDescent="0.25">
      <c r="A5755" t="s">
        <v>617</v>
      </c>
    </row>
    <row r="5756" spans="1:1" x14ac:dyDescent="0.25">
      <c r="A5756" t="s">
        <v>865</v>
      </c>
    </row>
    <row r="5757" spans="1:1" x14ac:dyDescent="0.25">
      <c r="A5757">
        <v>2798</v>
      </c>
    </row>
    <row r="5758" spans="1:1" x14ac:dyDescent="0.25">
      <c r="A5758">
        <v>190</v>
      </c>
    </row>
    <row r="5759" spans="1:1" x14ac:dyDescent="0.25">
      <c r="A5759">
        <v>218</v>
      </c>
    </row>
    <row r="5760" spans="1:1" x14ac:dyDescent="0.25">
      <c r="A5760">
        <v>190</v>
      </c>
    </row>
    <row r="5761" spans="1:1" x14ac:dyDescent="0.25">
      <c r="A5761">
        <v>5</v>
      </c>
    </row>
    <row r="5762" spans="1:1" x14ac:dyDescent="0.25">
      <c r="A5762">
        <v>616</v>
      </c>
    </row>
    <row r="5763" spans="1:1" x14ac:dyDescent="0.25">
      <c r="A5763" t="s">
        <v>1634</v>
      </c>
    </row>
    <row r="5764" spans="1:1" x14ac:dyDescent="0.25">
      <c r="A5764" t="s">
        <v>483</v>
      </c>
    </row>
    <row r="5765" spans="1:1" x14ac:dyDescent="0.25">
      <c r="A5765" t="s">
        <v>813</v>
      </c>
    </row>
    <row r="5766" spans="1:1" x14ac:dyDescent="0.25">
      <c r="A5766">
        <v>834</v>
      </c>
    </row>
    <row r="5767" spans="1:1" x14ac:dyDescent="0.25">
      <c r="A5767">
        <v>72</v>
      </c>
    </row>
    <row r="5768" spans="1:1" x14ac:dyDescent="0.25">
      <c r="A5768">
        <v>140</v>
      </c>
    </row>
    <row r="5769" spans="1:1" x14ac:dyDescent="0.25">
      <c r="A5769">
        <v>137</v>
      </c>
    </row>
    <row r="5770" spans="1:1" x14ac:dyDescent="0.25">
      <c r="A5770">
        <v>5</v>
      </c>
    </row>
    <row r="5771" spans="1:1" x14ac:dyDescent="0.25">
      <c r="A5771">
        <v>617</v>
      </c>
    </row>
    <row r="5772" spans="1:1" x14ac:dyDescent="0.25">
      <c r="A5772" t="s">
        <v>1635</v>
      </c>
    </row>
    <row r="5773" spans="1:1" x14ac:dyDescent="0.25">
      <c r="A5773" t="s">
        <v>484</v>
      </c>
    </row>
    <row r="5774" spans="1:1" x14ac:dyDescent="0.25">
      <c r="A5774" t="s">
        <v>813</v>
      </c>
    </row>
    <row r="5775" spans="1:1" x14ac:dyDescent="0.25">
      <c r="A5775">
        <v>2441</v>
      </c>
    </row>
    <row r="5776" spans="1:1" x14ac:dyDescent="0.25">
      <c r="A5776">
        <v>220</v>
      </c>
    </row>
    <row r="5777" spans="1:1" x14ac:dyDescent="0.25">
      <c r="A5777">
        <v>120</v>
      </c>
    </row>
    <row r="5778" spans="1:1" x14ac:dyDescent="0.25">
      <c r="A5778">
        <v>190</v>
      </c>
    </row>
    <row r="5779" spans="1:1" x14ac:dyDescent="0.25">
      <c r="A5779">
        <v>5</v>
      </c>
    </row>
    <row r="5780" spans="1:1" x14ac:dyDescent="0.25">
      <c r="A5780">
        <v>618</v>
      </c>
    </row>
    <row r="5781" spans="1:1" x14ac:dyDescent="0.25">
      <c r="A5781" t="s">
        <v>1636</v>
      </c>
    </row>
    <row r="5782" spans="1:1" x14ac:dyDescent="0.25">
      <c r="A5782" t="s">
        <v>730</v>
      </c>
    </row>
    <row r="5783" spans="1:1" x14ac:dyDescent="0.25">
      <c r="A5783" t="s">
        <v>1637</v>
      </c>
    </row>
    <row r="5784" spans="1:1" x14ac:dyDescent="0.25">
      <c r="A5784">
        <v>2162</v>
      </c>
    </row>
    <row r="5785" spans="1:1" x14ac:dyDescent="0.25">
      <c r="A5785">
        <v>144</v>
      </c>
    </row>
    <row r="5786" spans="1:1" x14ac:dyDescent="0.25">
      <c r="A5786">
        <v>171</v>
      </c>
    </row>
    <row r="5787" spans="1:1" x14ac:dyDescent="0.25">
      <c r="A5787">
        <v>240</v>
      </c>
    </row>
    <row r="5788" spans="1:1" x14ac:dyDescent="0.25">
      <c r="A5788">
        <v>5</v>
      </c>
    </row>
    <row r="5789" spans="1:1" x14ac:dyDescent="0.25">
      <c r="A5789">
        <v>619</v>
      </c>
    </row>
    <row r="5790" spans="1:1" x14ac:dyDescent="0.25">
      <c r="A5790" t="s">
        <v>1638</v>
      </c>
    </row>
    <row r="5791" spans="1:1" x14ac:dyDescent="0.25">
      <c r="A5791" t="s">
        <v>720</v>
      </c>
    </row>
    <row r="5792" spans="1:1" x14ac:dyDescent="0.25">
      <c r="A5792" t="s">
        <v>901</v>
      </c>
    </row>
    <row r="5793" spans="1:1" x14ac:dyDescent="0.25">
      <c r="A5793">
        <v>1389</v>
      </c>
    </row>
    <row r="5794" spans="1:1" x14ac:dyDescent="0.25">
      <c r="A5794">
        <v>160</v>
      </c>
    </row>
    <row r="5795" spans="1:1" x14ac:dyDescent="0.25">
      <c r="A5795">
        <v>98</v>
      </c>
    </row>
    <row r="5796" spans="1:1" x14ac:dyDescent="0.25">
      <c r="A5796">
        <v>128</v>
      </c>
    </row>
    <row r="5797" spans="1:1" x14ac:dyDescent="0.25">
      <c r="A5797">
        <v>5</v>
      </c>
    </row>
    <row r="5798" spans="1:1" x14ac:dyDescent="0.25">
      <c r="A5798">
        <v>620</v>
      </c>
    </row>
    <row r="5799" spans="1:1" x14ac:dyDescent="0.25">
      <c r="A5799" t="s">
        <v>1639</v>
      </c>
    </row>
    <row r="5800" spans="1:1" x14ac:dyDescent="0.25">
      <c r="A5800" t="s">
        <v>721</v>
      </c>
    </row>
    <row r="5801" spans="1:1" x14ac:dyDescent="0.25">
      <c r="A5801" t="s">
        <v>901</v>
      </c>
    </row>
    <row r="5802" spans="1:1" x14ac:dyDescent="0.25">
      <c r="A5802">
        <v>2710</v>
      </c>
    </row>
    <row r="5803" spans="1:1" x14ac:dyDescent="0.25">
      <c r="A5803">
        <v>258</v>
      </c>
    </row>
    <row r="5804" spans="1:1" x14ac:dyDescent="0.25">
      <c r="A5804">
        <v>127</v>
      </c>
    </row>
    <row r="5805" spans="1:1" x14ac:dyDescent="0.25">
      <c r="A5805">
        <v>163</v>
      </c>
    </row>
    <row r="5806" spans="1:1" x14ac:dyDescent="0.25">
      <c r="A5806">
        <v>5</v>
      </c>
    </row>
    <row r="5807" spans="1:1" x14ac:dyDescent="0.25">
      <c r="A5807">
        <v>621</v>
      </c>
    </row>
    <row r="5808" spans="1:1" x14ac:dyDescent="0.25">
      <c r="A5808" t="s">
        <v>1640</v>
      </c>
    </row>
    <row r="5809" spans="1:1" x14ac:dyDescent="0.25">
      <c r="A5809" t="s">
        <v>731</v>
      </c>
    </row>
    <row r="5810" spans="1:1" x14ac:dyDescent="0.25">
      <c r="A5810" t="s">
        <v>1030</v>
      </c>
    </row>
    <row r="5811" spans="1:1" x14ac:dyDescent="0.25">
      <c r="A5811">
        <v>2732</v>
      </c>
    </row>
    <row r="5812" spans="1:1" x14ac:dyDescent="0.25">
      <c r="A5812">
        <v>213</v>
      </c>
    </row>
    <row r="5813" spans="1:1" x14ac:dyDescent="0.25">
      <c r="A5813">
        <v>170</v>
      </c>
    </row>
    <row r="5814" spans="1:1" x14ac:dyDescent="0.25">
      <c r="A5814">
        <v>184</v>
      </c>
    </row>
    <row r="5815" spans="1:1" x14ac:dyDescent="0.25">
      <c r="A5815">
        <v>5</v>
      </c>
    </row>
    <row r="5816" spans="1:1" x14ac:dyDescent="0.25">
      <c r="A5816">
        <v>622</v>
      </c>
    </row>
    <row r="5817" spans="1:1" x14ac:dyDescent="0.25">
      <c r="A5817" t="s">
        <v>1641</v>
      </c>
    </row>
    <row r="5818" spans="1:1" x14ac:dyDescent="0.25">
      <c r="A5818" t="s">
        <v>618</v>
      </c>
    </row>
    <row r="5819" spans="1:1" x14ac:dyDescent="0.25">
      <c r="A5819" t="s">
        <v>1642</v>
      </c>
    </row>
    <row r="5820" spans="1:1" x14ac:dyDescent="0.25">
      <c r="A5820">
        <v>1189</v>
      </c>
    </row>
    <row r="5821" spans="1:1" x14ac:dyDescent="0.25">
      <c r="A5821">
        <v>127</v>
      </c>
    </row>
    <row r="5822" spans="1:1" x14ac:dyDescent="0.25">
      <c r="A5822">
        <v>92</v>
      </c>
    </row>
    <row r="5823" spans="1:1" x14ac:dyDescent="0.25">
      <c r="A5823">
        <v>153</v>
      </c>
    </row>
    <row r="5824" spans="1:1" x14ac:dyDescent="0.25">
      <c r="A5824">
        <v>5</v>
      </c>
    </row>
    <row r="5825" spans="1:1" x14ac:dyDescent="0.25">
      <c r="A5825">
        <v>623</v>
      </c>
    </row>
    <row r="5826" spans="1:1" x14ac:dyDescent="0.25">
      <c r="A5826" t="s">
        <v>1643</v>
      </c>
    </row>
    <row r="5827" spans="1:1" x14ac:dyDescent="0.25">
      <c r="A5827" t="s">
        <v>619</v>
      </c>
    </row>
    <row r="5828" spans="1:1" x14ac:dyDescent="0.25">
      <c r="A5828" t="s">
        <v>1642</v>
      </c>
    </row>
    <row r="5829" spans="1:1" x14ac:dyDescent="0.25">
      <c r="A5829">
        <v>2854</v>
      </c>
    </row>
    <row r="5830" spans="1:1" x14ac:dyDescent="0.25">
      <c r="A5830">
        <v>222</v>
      </c>
    </row>
    <row r="5831" spans="1:1" x14ac:dyDescent="0.25">
      <c r="A5831">
        <v>154</v>
      </c>
    </row>
    <row r="5832" spans="1:1" x14ac:dyDescent="0.25">
      <c r="A5832">
        <v>205</v>
      </c>
    </row>
    <row r="5833" spans="1:1" x14ac:dyDescent="0.25">
      <c r="A5833">
        <v>5</v>
      </c>
    </row>
    <row r="5834" spans="1:1" x14ac:dyDescent="0.25">
      <c r="A5834">
        <v>624</v>
      </c>
    </row>
    <row r="5835" spans="1:1" x14ac:dyDescent="0.25">
      <c r="A5835" t="s">
        <v>1644</v>
      </c>
    </row>
    <row r="5836" spans="1:1" x14ac:dyDescent="0.25">
      <c r="A5836" t="s">
        <v>732</v>
      </c>
    </row>
    <row r="5837" spans="1:1" x14ac:dyDescent="0.25">
      <c r="A5837" t="s">
        <v>1645</v>
      </c>
    </row>
    <row r="5838" spans="1:1" x14ac:dyDescent="0.25">
      <c r="A5838">
        <v>1433</v>
      </c>
    </row>
    <row r="5839" spans="1:1" x14ac:dyDescent="0.25">
      <c r="A5839">
        <v>154</v>
      </c>
    </row>
    <row r="5840" spans="1:1" x14ac:dyDescent="0.25">
      <c r="A5840">
        <v>114</v>
      </c>
    </row>
    <row r="5841" spans="1:1" x14ac:dyDescent="0.25">
      <c r="A5841">
        <v>128</v>
      </c>
    </row>
    <row r="5842" spans="1:1" x14ac:dyDescent="0.25">
      <c r="A5842">
        <v>5</v>
      </c>
    </row>
    <row r="5843" spans="1:1" x14ac:dyDescent="0.25">
      <c r="A5843">
        <v>625</v>
      </c>
    </row>
    <row r="5844" spans="1:1" x14ac:dyDescent="0.25">
      <c r="A5844" t="s">
        <v>1646</v>
      </c>
    </row>
    <row r="5845" spans="1:1" x14ac:dyDescent="0.25">
      <c r="A5845" t="s">
        <v>733</v>
      </c>
    </row>
    <row r="5846" spans="1:1" x14ac:dyDescent="0.25">
      <c r="A5846" t="s">
        <v>1645</v>
      </c>
    </row>
    <row r="5847" spans="1:1" x14ac:dyDescent="0.25">
      <c r="A5847">
        <v>2844</v>
      </c>
    </row>
    <row r="5848" spans="1:1" x14ac:dyDescent="0.25">
      <c r="A5848">
        <v>232</v>
      </c>
    </row>
    <row r="5849" spans="1:1" x14ac:dyDescent="0.25">
      <c r="A5849">
        <v>176</v>
      </c>
    </row>
    <row r="5850" spans="1:1" x14ac:dyDescent="0.25">
      <c r="A5850">
        <v>163</v>
      </c>
    </row>
    <row r="5851" spans="1:1" x14ac:dyDescent="0.25">
      <c r="A5851">
        <v>5</v>
      </c>
    </row>
    <row r="5852" spans="1:1" x14ac:dyDescent="0.25">
      <c r="A5852">
        <v>626</v>
      </c>
    </row>
    <row r="5853" spans="1:1" x14ac:dyDescent="0.25">
      <c r="A5853" t="s">
        <v>1647</v>
      </c>
    </row>
    <row r="5854" spans="1:1" x14ac:dyDescent="0.25">
      <c r="A5854" t="s">
        <v>722</v>
      </c>
    </row>
    <row r="5855" spans="1:1" x14ac:dyDescent="0.25">
      <c r="A5855" t="s">
        <v>826</v>
      </c>
    </row>
    <row r="5856" spans="1:1" x14ac:dyDescent="0.25">
      <c r="A5856">
        <v>2797</v>
      </c>
    </row>
    <row r="5857" spans="1:1" x14ac:dyDescent="0.25">
      <c r="A5857">
        <v>195</v>
      </c>
    </row>
    <row r="5858" spans="1:1" x14ac:dyDescent="0.25">
      <c r="A5858">
        <v>182</v>
      </c>
    </row>
    <row r="5859" spans="1:1" x14ac:dyDescent="0.25">
      <c r="A5859">
        <v>216</v>
      </c>
    </row>
    <row r="5860" spans="1:1" x14ac:dyDescent="0.25">
      <c r="A5860">
        <v>5</v>
      </c>
    </row>
    <row r="5861" spans="1:1" x14ac:dyDescent="0.25">
      <c r="A5861">
        <v>627</v>
      </c>
    </row>
    <row r="5862" spans="1:1" x14ac:dyDescent="0.25">
      <c r="A5862" t="s">
        <v>1648</v>
      </c>
    </row>
    <row r="5863" spans="1:1" x14ac:dyDescent="0.25">
      <c r="A5863" t="s">
        <v>734</v>
      </c>
    </row>
    <row r="5864" spans="1:1" x14ac:dyDescent="0.25">
      <c r="A5864" t="s">
        <v>822</v>
      </c>
    </row>
    <row r="5865" spans="1:1" x14ac:dyDescent="0.25">
      <c r="A5865">
        <v>1491</v>
      </c>
    </row>
    <row r="5866" spans="1:1" x14ac:dyDescent="0.25">
      <c r="A5866">
        <v>150</v>
      </c>
    </row>
    <row r="5867" spans="1:1" x14ac:dyDescent="0.25">
      <c r="A5867">
        <v>97</v>
      </c>
    </row>
    <row r="5868" spans="1:1" x14ac:dyDescent="0.25">
      <c r="A5868">
        <v>172</v>
      </c>
    </row>
    <row r="5869" spans="1:1" x14ac:dyDescent="0.25">
      <c r="A5869">
        <v>5</v>
      </c>
    </row>
    <row r="5870" spans="1:1" x14ac:dyDescent="0.25">
      <c r="A5870">
        <v>628</v>
      </c>
    </row>
    <row r="5871" spans="1:1" x14ac:dyDescent="0.25">
      <c r="A5871" t="s">
        <v>1649</v>
      </c>
    </row>
    <row r="5872" spans="1:1" x14ac:dyDescent="0.25">
      <c r="A5872" t="s">
        <v>735</v>
      </c>
    </row>
    <row r="5873" spans="1:1" x14ac:dyDescent="0.25">
      <c r="A5873" t="s">
        <v>822</v>
      </c>
    </row>
    <row r="5874" spans="1:1" x14ac:dyDescent="0.25">
      <c r="A5874">
        <v>3088</v>
      </c>
    </row>
    <row r="5875" spans="1:1" x14ac:dyDescent="0.25">
      <c r="A5875">
        <v>232</v>
      </c>
    </row>
    <row r="5876" spans="1:1" x14ac:dyDescent="0.25">
      <c r="A5876">
        <v>152</v>
      </c>
    </row>
    <row r="5877" spans="1:1" x14ac:dyDescent="0.25">
      <c r="A5877">
        <v>225</v>
      </c>
    </row>
    <row r="5878" spans="1:1" x14ac:dyDescent="0.25">
      <c r="A5878">
        <v>5</v>
      </c>
    </row>
    <row r="5879" spans="1:1" x14ac:dyDescent="0.25">
      <c r="A5879">
        <v>629</v>
      </c>
    </row>
    <row r="5880" spans="1:1" x14ac:dyDescent="0.25">
      <c r="A5880" t="s">
        <v>1650</v>
      </c>
    </row>
    <row r="5881" spans="1:1" x14ac:dyDescent="0.25">
      <c r="A5881" t="s">
        <v>736</v>
      </c>
    </row>
    <row r="5882" spans="1:1" x14ac:dyDescent="0.25">
      <c r="A5882" t="s">
        <v>1092</v>
      </c>
    </row>
    <row r="5883" spans="1:1" x14ac:dyDescent="0.25">
      <c r="A5883">
        <v>1271</v>
      </c>
    </row>
    <row r="5884" spans="1:1" x14ac:dyDescent="0.25">
      <c r="A5884">
        <v>105</v>
      </c>
    </row>
    <row r="5885" spans="1:1" x14ac:dyDescent="0.25">
      <c r="A5885">
        <v>139</v>
      </c>
    </row>
    <row r="5886" spans="1:1" x14ac:dyDescent="0.25">
      <c r="A5886">
        <v>172</v>
      </c>
    </row>
    <row r="5887" spans="1:1" x14ac:dyDescent="0.25">
      <c r="A5887">
        <v>5</v>
      </c>
    </row>
    <row r="5888" spans="1:1" x14ac:dyDescent="0.25">
      <c r="A5888">
        <v>630</v>
      </c>
    </row>
    <row r="5889" spans="1:1" x14ac:dyDescent="0.25">
      <c r="A5889" t="s">
        <v>1651</v>
      </c>
    </row>
    <row r="5890" spans="1:1" x14ac:dyDescent="0.25">
      <c r="A5890" t="s">
        <v>737</v>
      </c>
    </row>
    <row r="5891" spans="1:1" x14ac:dyDescent="0.25">
      <c r="A5891" t="s">
        <v>1092</v>
      </c>
    </row>
    <row r="5892" spans="1:1" x14ac:dyDescent="0.25">
      <c r="A5892">
        <v>2138</v>
      </c>
    </row>
    <row r="5893" spans="1:1" x14ac:dyDescent="0.25">
      <c r="A5893">
        <v>129</v>
      </c>
    </row>
    <row r="5894" spans="1:1" x14ac:dyDescent="0.25">
      <c r="A5894">
        <v>205</v>
      </c>
    </row>
    <row r="5895" spans="1:1" x14ac:dyDescent="0.25">
      <c r="A5895">
        <v>242</v>
      </c>
    </row>
    <row r="5896" spans="1:1" x14ac:dyDescent="0.25">
      <c r="A5896">
        <v>5</v>
      </c>
    </row>
    <row r="5897" spans="1:1" x14ac:dyDescent="0.25">
      <c r="A5897">
        <v>631</v>
      </c>
    </row>
    <row r="5898" spans="1:1" x14ac:dyDescent="0.25">
      <c r="A5898" t="s">
        <v>1652</v>
      </c>
    </row>
    <row r="5899" spans="1:1" x14ac:dyDescent="0.25">
      <c r="A5899" t="s">
        <v>485</v>
      </c>
    </row>
    <row r="5900" spans="1:1" x14ac:dyDescent="0.25">
      <c r="A5900" t="s">
        <v>804</v>
      </c>
    </row>
    <row r="5901" spans="1:1" x14ac:dyDescent="0.25">
      <c r="A5901">
        <v>2395</v>
      </c>
    </row>
    <row r="5902" spans="1:1" x14ac:dyDescent="0.25">
      <c r="A5902">
        <v>204</v>
      </c>
    </row>
    <row r="5903" spans="1:1" x14ac:dyDescent="0.25">
      <c r="A5903">
        <v>129</v>
      </c>
    </row>
    <row r="5904" spans="1:1" x14ac:dyDescent="0.25">
      <c r="A5904">
        <v>198</v>
      </c>
    </row>
    <row r="5905" spans="1:1" x14ac:dyDescent="0.25">
      <c r="A5905">
        <v>5</v>
      </c>
    </row>
    <row r="5906" spans="1:1" x14ac:dyDescent="0.25">
      <c r="A5906">
        <v>632</v>
      </c>
    </row>
    <row r="5907" spans="1:1" x14ac:dyDescent="0.25">
      <c r="A5907" t="s">
        <v>1653</v>
      </c>
    </row>
    <row r="5908" spans="1:1" x14ac:dyDescent="0.25">
      <c r="A5908" t="s">
        <v>486</v>
      </c>
    </row>
    <row r="5909" spans="1:1" x14ac:dyDescent="0.25">
      <c r="A5909" t="s">
        <v>1102</v>
      </c>
    </row>
    <row r="5910" spans="1:1" x14ac:dyDescent="0.25">
      <c r="A5910">
        <v>2659</v>
      </c>
    </row>
    <row r="5911" spans="1:1" x14ac:dyDescent="0.25">
      <c r="A5911">
        <v>217</v>
      </c>
    </row>
    <row r="5912" spans="1:1" x14ac:dyDescent="0.25">
      <c r="A5912">
        <v>188</v>
      </c>
    </row>
    <row r="5913" spans="1:1" x14ac:dyDescent="0.25">
      <c r="A5913">
        <v>151</v>
      </c>
    </row>
    <row r="5914" spans="1:1" x14ac:dyDescent="0.25">
      <c r="A5914">
        <v>5</v>
      </c>
    </row>
    <row r="5915" spans="1:1" x14ac:dyDescent="0.25">
      <c r="A5915">
        <v>633</v>
      </c>
    </row>
    <row r="5916" spans="1:1" x14ac:dyDescent="0.25">
      <c r="A5916" t="s">
        <v>1654</v>
      </c>
    </row>
    <row r="5917" spans="1:1" x14ac:dyDescent="0.25">
      <c r="A5917" t="s">
        <v>620</v>
      </c>
    </row>
    <row r="5918" spans="1:1" x14ac:dyDescent="0.25">
      <c r="A5918" t="s">
        <v>1655</v>
      </c>
    </row>
    <row r="5919" spans="1:1" x14ac:dyDescent="0.25">
      <c r="A5919">
        <v>1062</v>
      </c>
    </row>
    <row r="5920" spans="1:1" x14ac:dyDescent="0.25">
      <c r="A5920">
        <v>116</v>
      </c>
    </row>
    <row r="5921" spans="1:1" x14ac:dyDescent="0.25">
      <c r="A5921">
        <v>93</v>
      </c>
    </row>
    <row r="5922" spans="1:1" x14ac:dyDescent="0.25">
      <c r="A5922">
        <v>141</v>
      </c>
    </row>
    <row r="5923" spans="1:1" x14ac:dyDescent="0.25">
      <c r="A5923">
        <v>5</v>
      </c>
    </row>
    <row r="5924" spans="1:1" x14ac:dyDescent="0.25">
      <c r="A5924">
        <v>634</v>
      </c>
    </row>
    <row r="5925" spans="1:1" x14ac:dyDescent="0.25">
      <c r="A5925" t="s">
        <v>1656</v>
      </c>
    </row>
    <row r="5926" spans="1:1" x14ac:dyDescent="0.25">
      <c r="A5926" t="s">
        <v>621</v>
      </c>
    </row>
    <row r="5927" spans="1:1" x14ac:dyDescent="0.25">
      <c r="A5927" t="s">
        <v>1655</v>
      </c>
    </row>
    <row r="5928" spans="1:1" x14ac:dyDescent="0.25">
      <c r="A5928">
        <v>1839</v>
      </c>
    </row>
    <row r="5929" spans="1:1" x14ac:dyDescent="0.25">
      <c r="A5929">
        <v>159</v>
      </c>
    </row>
    <row r="5930" spans="1:1" x14ac:dyDescent="0.25">
      <c r="A5930">
        <v>135</v>
      </c>
    </row>
    <row r="5931" spans="1:1" x14ac:dyDescent="0.25">
      <c r="A5931">
        <v>176</v>
      </c>
    </row>
    <row r="5932" spans="1:1" x14ac:dyDescent="0.25">
      <c r="A5932">
        <v>5</v>
      </c>
    </row>
    <row r="5933" spans="1:1" x14ac:dyDescent="0.25">
      <c r="A5933">
        <v>635</v>
      </c>
    </row>
    <row r="5934" spans="1:1" x14ac:dyDescent="0.25">
      <c r="A5934" t="s">
        <v>1657</v>
      </c>
    </row>
    <row r="5935" spans="1:1" x14ac:dyDescent="0.25">
      <c r="A5935" t="s">
        <v>622</v>
      </c>
    </row>
    <row r="5936" spans="1:1" x14ac:dyDescent="0.25">
      <c r="A5936" t="s">
        <v>1655</v>
      </c>
    </row>
    <row r="5937" spans="1:1" x14ac:dyDescent="0.25">
      <c r="A5937">
        <v>3625</v>
      </c>
    </row>
    <row r="5938" spans="1:1" x14ac:dyDescent="0.25">
      <c r="A5938">
        <v>256</v>
      </c>
    </row>
    <row r="5939" spans="1:1" x14ac:dyDescent="0.25">
      <c r="A5939">
        <v>188</v>
      </c>
    </row>
    <row r="5940" spans="1:1" x14ac:dyDescent="0.25">
      <c r="A5940">
        <v>211</v>
      </c>
    </row>
    <row r="5941" spans="1:1" x14ac:dyDescent="0.25">
      <c r="A5941">
        <v>5</v>
      </c>
    </row>
    <row r="5942" spans="1:1" x14ac:dyDescent="0.25">
      <c r="A5942">
        <v>636</v>
      </c>
    </row>
    <row r="5943" spans="1:1" x14ac:dyDescent="0.25">
      <c r="A5943" t="s">
        <v>1658</v>
      </c>
    </row>
    <row r="5944" spans="1:1" x14ac:dyDescent="0.25">
      <c r="A5944" t="s">
        <v>738</v>
      </c>
    </row>
    <row r="5945" spans="1:1" x14ac:dyDescent="0.25">
      <c r="A5945" t="s">
        <v>1659</v>
      </c>
    </row>
    <row r="5946" spans="1:1" x14ac:dyDescent="0.25">
      <c r="A5946">
        <v>1496</v>
      </c>
    </row>
    <row r="5947" spans="1:1" x14ac:dyDescent="0.25">
      <c r="A5947">
        <v>156</v>
      </c>
    </row>
    <row r="5948" spans="1:1" x14ac:dyDescent="0.25">
      <c r="A5948">
        <v>107</v>
      </c>
    </row>
    <row r="5949" spans="1:1" x14ac:dyDescent="0.25">
      <c r="A5949">
        <v>146</v>
      </c>
    </row>
    <row r="5950" spans="1:1" x14ac:dyDescent="0.25">
      <c r="A5950">
        <v>5</v>
      </c>
    </row>
    <row r="5951" spans="1:1" x14ac:dyDescent="0.25">
      <c r="A5951">
        <v>637</v>
      </c>
    </row>
    <row r="5952" spans="1:1" x14ac:dyDescent="0.25">
      <c r="A5952" t="s">
        <v>1660</v>
      </c>
    </row>
    <row r="5953" spans="1:1" x14ac:dyDescent="0.25">
      <c r="A5953" t="s">
        <v>739</v>
      </c>
    </row>
    <row r="5954" spans="1:1" x14ac:dyDescent="0.25">
      <c r="A5954" t="s">
        <v>1659</v>
      </c>
    </row>
    <row r="5955" spans="1:1" x14ac:dyDescent="0.25">
      <c r="A5955">
        <v>3632</v>
      </c>
    </row>
    <row r="5956" spans="1:1" x14ac:dyDescent="0.25">
      <c r="A5956">
        <v>264</v>
      </c>
    </row>
    <row r="5957" spans="1:1" x14ac:dyDescent="0.25">
      <c r="A5957">
        <v>189</v>
      </c>
    </row>
    <row r="5958" spans="1:1" x14ac:dyDescent="0.25">
      <c r="A5958">
        <v>198</v>
      </c>
    </row>
    <row r="5959" spans="1:1" x14ac:dyDescent="0.25">
      <c r="A5959">
        <v>5</v>
      </c>
    </row>
    <row r="5960" spans="1:1" x14ac:dyDescent="0.25">
      <c r="A5960">
        <v>638</v>
      </c>
    </row>
    <row r="5961" spans="1:1" x14ac:dyDescent="0.25">
      <c r="A5961" t="s">
        <v>1661</v>
      </c>
    </row>
    <row r="5962" spans="1:1" x14ac:dyDescent="0.25">
      <c r="A5962" t="s">
        <v>755</v>
      </c>
    </row>
    <row r="5963" spans="1:1" x14ac:dyDescent="0.25">
      <c r="A5963" t="s">
        <v>1662</v>
      </c>
    </row>
    <row r="5964" spans="1:1" x14ac:dyDescent="0.25">
      <c r="A5964">
        <v>3022</v>
      </c>
    </row>
    <row r="5965" spans="1:1" x14ac:dyDescent="0.25">
      <c r="A5965">
        <v>192</v>
      </c>
    </row>
    <row r="5966" spans="1:1" x14ac:dyDescent="0.25">
      <c r="A5966">
        <v>229</v>
      </c>
    </row>
    <row r="5967" spans="1:1" x14ac:dyDescent="0.25">
      <c r="A5967">
        <v>209</v>
      </c>
    </row>
    <row r="5968" spans="1:1" x14ac:dyDescent="0.25">
      <c r="A5968">
        <v>5</v>
      </c>
    </row>
    <row r="5969" spans="1:1" x14ac:dyDescent="0.25">
      <c r="A5969">
        <v>639</v>
      </c>
    </row>
    <row r="5970" spans="1:1" x14ac:dyDescent="0.25">
      <c r="A5970" t="s">
        <v>1663</v>
      </c>
    </row>
    <row r="5971" spans="1:1" x14ac:dyDescent="0.25">
      <c r="A5971" t="s">
        <v>756</v>
      </c>
    </row>
    <row r="5972" spans="1:1" x14ac:dyDescent="0.25">
      <c r="A5972" t="s">
        <v>1664</v>
      </c>
    </row>
    <row r="5973" spans="1:1" x14ac:dyDescent="0.25">
      <c r="A5973">
        <v>3698</v>
      </c>
    </row>
    <row r="5974" spans="1:1" x14ac:dyDescent="0.25">
      <c r="A5974">
        <v>260</v>
      </c>
    </row>
    <row r="5975" spans="1:1" x14ac:dyDescent="0.25">
      <c r="A5975">
        <v>192</v>
      </c>
    </row>
    <row r="5976" spans="1:1" x14ac:dyDescent="0.25">
      <c r="A5976">
        <v>209</v>
      </c>
    </row>
    <row r="5977" spans="1:1" x14ac:dyDescent="0.25">
      <c r="A5977">
        <v>5</v>
      </c>
    </row>
    <row r="5978" spans="1:1" x14ac:dyDescent="0.25">
      <c r="A5978">
        <v>640</v>
      </c>
    </row>
    <row r="5979" spans="1:1" x14ac:dyDescent="0.25">
      <c r="A5979" t="s">
        <v>1665</v>
      </c>
    </row>
    <row r="5980" spans="1:1" x14ac:dyDescent="0.25">
      <c r="A5980" t="s">
        <v>757</v>
      </c>
    </row>
    <row r="5981" spans="1:1" x14ac:dyDescent="0.25">
      <c r="A5981" t="s">
        <v>1201</v>
      </c>
    </row>
    <row r="5982" spans="1:1" x14ac:dyDescent="0.25">
      <c r="A5982">
        <v>3022</v>
      </c>
    </row>
    <row r="5983" spans="1:1" x14ac:dyDescent="0.25">
      <c r="A5983">
        <v>192</v>
      </c>
    </row>
    <row r="5984" spans="1:1" x14ac:dyDescent="0.25">
      <c r="A5984">
        <v>229</v>
      </c>
    </row>
    <row r="5985" spans="1:1" x14ac:dyDescent="0.25">
      <c r="A5985">
        <v>209</v>
      </c>
    </row>
    <row r="5986" spans="1:1" x14ac:dyDescent="0.25">
      <c r="A5986">
        <v>5</v>
      </c>
    </row>
    <row r="5987" spans="1:1" x14ac:dyDescent="0.25">
      <c r="A5987">
        <v>641</v>
      </c>
    </row>
    <row r="5988" spans="1:1" x14ac:dyDescent="0.25">
      <c r="A5988" t="s">
        <v>1666</v>
      </c>
    </row>
    <row r="5989" spans="1:1" x14ac:dyDescent="0.25">
      <c r="A5989" t="s">
        <v>758</v>
      </c>
    </row>
    <row r="5990" spans="1:1" x14ac:dyDescent="0.25">
      <c r="A5990" t="s">
        <v>1469</v>
      </c>
    </row>
    <row r="5991" spans="1:1" x14ac:dyDescent="0.25">
      <c r="A5991">
        <v>3345</v>
      </c>
    </row>
    <row r="5992" spans="1:1" x14ac:dyDescent="0.25">
      <c r="A5992">
        <v>266</v>
      </c>
    </row>
    <row r="5993" spans="1:1" x14ac:dyDescent="0.25">
      <c r="A5993">
        <v>164</v>
      </c>
    </row>
    <row r="5994" spans="1:1" x14ac:dyDescent="0.25">
      <c r="A5994">
        <v>188</v>
      </c>
    </row>
    <row r="5995" spans="1:1" x14ac:dyDescent="0.25">
      <c r="A5995">
        <v>5</v>
      </c>
    </row>
    <row r="5996" spans="1:1" x14ac:dyDescent="0.25">
      <c r="A5996">
        <v>641</v>
      </c>
    </row>
    <row r="5997" spans="1:1" x14ac:dyDescent="0.25">
      <c r="A5997" t="s">
        <v>1667</v>
      </c>
    </row>
    <row r="5998" spans="1:1" x14ac:dyDescent="0.25">
      <c r="A5998" t="s">
        <v>1668</v>
      </c>
    </row>
    <row r="5999" spans="1:1" x14ac:dyDescent="0.25">
      <c r="A5999" t="s">
        <v>1469</v>
      </c>
    </row>
    <row r="6000" spans="1:1" x14ac:dyDescent="0.25">
      <c r="A6000">
        <v>3215</v>
      </c>
    </row>
    <row r="6001" spans="1:1" x14ac:dyDescent="0.25">
      <c r="A6001">
        <v>238</v>
      </c>
    </row>
    <row r="6002" spans="1:1" x14ac:dyDescent="0.25">
      <c r="A6002">
        <v>189</v>
      </c>
    </row>
    <row r="6003" spans="1:1" x14ac:dyDescent="0.25">
      <c r="A6003">
        <v>188</v>
      </c>
    </row>
    <row r="6004" spans="1:1" x14ac:dyDescent="0.25">
      <c r="A6004">
        <v>5</v>
      </c>
    </row>
    <row r="6005" spans="1:1" x14ac:dyDescent="0.25">
      <c r="A6005">
        <v>642</v>
      </c>
    </row>
    <row r="6006" spans="1:1" x14ac:dyDescent="0.25">
      <c r="A6006" t="s">
        <v>1669</v>
      </c>
    </row>
    <row r="6007" spans="1:1" x14ac:dyDescent="0.25">
      <c r="A6007" t="s">
        <v>759</v>
      </c>
    </row>
    <row r="6008" spans="1:1" x14ac:dyDescent="0.25">
      <c r="A6008" t="s">
        <v>1027</v>
      </c>
    </row>
    <row r="6009" spans="1:1" x14ac:dyDescent="0.25">
      <c r="A6009">
        <v>3345</v>
      </c>
    </row>
    <row r="6010" spans="1:1" x14ac:dyDescent="0.25">
      <c r="A6010">
        <v>266</v>
      </c>
    </row>
    <row r="6011" spans="1:1" x14ac:dyDescent="0.25">
      <c r="A6011">
        <v>164</v>
      </c>
    </row>
    <row r="6012" spans="1:1" x14ac:dyDescent="0.25">
      <c r="A6012">
        <v>188</v>
      </c>
    </row>
    <row r="6013" spans="1:1" x14ac:dyDescent="0.25">
      <c r="A6013">
        <v>5</v>
      </c>
    </row>
    <row r="6014" spans="1:1" x14ac:dyDescent="0.25">
      <c r="A6014">
        <v>642</v>
      </c>
    </row>
    <row r="6015" spans="1:1" x14ac:dyDescent="0.25">
      <c r="A6015" t="s">
        <v>1670</v>
      </c>
    </row>
    <row r="6016" spans="1:1" x14ac:dyDescent="0.25">
      <c r="A6016" t="s">
        <v>1671</v>
      </c>
    </row>
    <row r="6017" spans="1:1" x14ac:dyDescent="0.25">
      <c r="A6017" t="s">
        <v>1027</v>
      </c>
    </row>
    <row r="6018" spans="1:1" x14ac:dyDescent="0.25">
      <c r="A6018">
        <v>3659</v>
      </c>
    </row>
    <row r="6019" spans="1:1" x14ac:dyDescent="0.25">
      <c r="A6019">
        <v>295</v>
      </c>
    </row>
    <row r="6020" spans="1:1" x14ac:dyDescent="0.25">
      <c r="A6020">
        <v>161</v>
      </c>
    </row>
    <row r="6021" spans="1:1" x14ac:dyDescent="0.25">
      <c r="A6021">
        <v>188</v>
      </c>
    </row>
    <row r="6022" spans="1:1" x14ac:dyDescent="0.25">
      <c r="A6022">
        <v>5</v>
      </c>
    </row>
    <row r="6023" spans="1:1" x14ac:dyDescent="0.25">
      <c r="A6023">
        <v>643</v>
      </c>
    </row>
    <row r="6024" spans="1:1" x14ac:dyDescent="0.25">
      <c r="A6024" t="s">
        <v>1672</v>
      </c>
    </row>
    <row r="6025" spans="1:1" x14ac:dyDescent="0.25">
      <c r="A6025" t="s">
        <v>760</v>
      </c>
    </row>
    <row r="6026" spans="1:1" x14ac:dyDescent="0.25">
      <c r="A6026" t="s">
        <v>1673</v>
      </c>
    </row>
    <row r="6027" spans="1:1" x14ac:dyDescent="0.25">
      <c r="A6027">
        <v>4038</v>
      </c>
    </row>
    <row r="6028" spans="1:1" x14ac:dyDescent="0.25">
      <c r="A6028">
        <v>275</v>
      </c>
    </row>
    <row r="6029" spans="1:1" x14ac:dyDescent="0.25">
      <c r="A6029">
        <v>211</v>
      </c>
    </row>
    <row r="6030" spans="1:1" x14ac:dyDescent="0.25">
      <c r="A6030">
        <v>205</v>
      </c>
    </row>
    <row r="6031" spans="1:1" x14ac:dyDescent="0.25">
      <c r="A6031">
        <v>5</v>
      </c>
    </row>
    <row r="6032" spans="1:1" x14ac:dyDescent="0.25">
      <c r="A6032">
        <v>644</v>
      </c>
    </row>
    <row r="6033" spans="1:1" x14ac:dyDescent="0.25">
      <c r="A6033" t="s">
        <v>1674</v>
      </c>
    </row>
    <row r="6034" spans="1:1" x14ac:dyDescent="0.25">
      <c r="A6034" t="s">
        <v>761</v>
      </c>
    </row>
    <row r="6035" spans="1:1" x14ac:dyDescent="0.25">
      <c r="A6035" t="s">
        <v>1675</v>
      </c>
    </row>
    <row r="6036" spans="1:1" x14ac:dyDescent="0.25">
      <c r="A6036">
        <v>4038</v>
      </c>
    </row>
    <row r="6037" spans="1:1" x14ac:dyDescent="0.25">
      <c r="A6037">
        <v>275</v>
      </c>
    </row>
    <row r="6038" spans="1:1" x14ac:dyDescent="0.25">
      <c r="A6038">
        <v>211</v>
      </c>
    </row>
    <row r="6039" spans="1:1" x14ac:dyDescent="0.25">
      <c r="A6039">
        <v>205</v>
      </c>
    </row>
    <row r="6040" spans="1:1" x14ac:dyDescent="0.25">
      <c r="A6040">
        <v>5</v>
      </c>
    </row>
    <row r="6041" spans="1:1" x14ac:dyDescent="0.25">
      <c r="A6041">
        <v>645</v>
      </c>
    </row>
    <row r="6042" spans="1:1" x14ac:dyDescent="0.25">
      <c r="A6042" t="s">
        <v>1676</v>
      </c>
    </row>
    <row r="6043" spans="1:1" x14ac:dyDescent="0.25">
      <c r="A6043" t="s">
        <v>762</v>
      </c>
    </row>
    <row r="6044" spans="1:1" x14ac:dyDescent="0.25">
      <c r="A6044" t="s">
        <v>1105</v>
      </c>
    </row>
    <row r="6045" spans="1:1" x14ac:dyDescent="0.25">
      <c r="A6045">
        <v>3588</v>
      </c>
    </row>
    <row r="6046" spans="1:1" x14ac:dyDescent="0.25">
      <c r="A6046">
        <v>261</v>
      </c>
    </row>
    <row r="6047" spans="1:1" x14ac:dyDescent="0.25">
      <c r="A6047">
        <v>182</v>
      </c>
    </row>
    <row r="6048" spans="1:1" x14ac:dyDescent="0.25">
      <c r="A6048">
        <v>205</v>
      </c>
    </row>
    <row r="6049" spans="1:1" x14ac:dyDescent="0.25">
      <c r="A6049">
        <v>5</v>
      </c>
    </row>
    <row r="6050" spans="1:1" x14ac:dyDescent="0.25">
      <c r="A6050">
        <v>645</v>
      </c>
    </row>
    <row r="6051" spans="1:1" x14ac:dyDescent="0.25">
      <c r="A6051" t="s">
        <v>1677</v>
      </c>
    </row>
    <row r="6052" spans="1:1" x14ac:dyDescent="0.25">
      <c r="A6052" t="s">
        <v>1678</v>
      </c>
    </row>
    <row r="6053" spans="1:1" x14ac:dyDescent="0.25">
      <c r="A6053" t="s">
        <v>1105</v>
      </c>
    </row>
    <row r="6054" spans="1:1" x14ac:dyDescent="0.25">
      <c r="A6054">
        <v>3922</v>
      </c>
    </row>
    <row r="6055" spans="1:1" x14ac:dyDescent="0.25">
      <c r="A6055">
        <v>289</v>
      </c>
    </row>
    <row r="6056" spans="1:1" x14ac:dyDescent="0.25">
      <c r="A6056">
        <v>179</v>
      </c>
    </row>
    <row r="6057" spans="1:1" x14ac:dyDescent="0.25">
      <c r="A6057">
        <v>205</v>
      </c>
    </row>
    <row r="6058" spans="1:1" x14ac:dyDescent="0.25">
      <c r="A6058">
        <v>5</v>
      </c>
    </row>
    <row r="6059" spans="1:1" x14ac:dyDescent="0.25">
      <c r="A6059">
        <v>646</v>
      </c>
    </row>
    <row r="6060" spans="1:1" x14ac:dyDescent="0.25">
      <c r="A6060" t="s">
        <v>1679</v>
      </c>
    </row>
    <row r="6061" spans="1:1" x14ac:dyDescent="0.25">
      <c r="A6061" t="s">
        <v>763</v>
      </c>
    </row>
    <row r="6062" spans="1:1" x14ac:dyDescent="0.25">
      <c r="A6062" t="s">
        <v>1680</v>
      </c>
    </row>
    <row r="6063" spans="1:1" x14ac:dyDescent="0.25">
      <c r="A6063">
        <v>3575</v>
      </c>
    </row>
    <row r="6064" spans="1:1" x14ac:dyDescent="0.25">
      <c r="A6064">
        <v>246</v>
      </c>
    </row>
    <row r="6065" spans="1:1" x14ac:dyDescent="0.25">
      <c r="A6065">
        <v>170</v>
      </c>
    </row>
    <row r="6066" spans="1:1" x14ac:dyDescent="0.25">
      <c r="A6066">
        <v>245</v>
      </c>
    </row>
    <row r="6067" spans="1:1" x14ac:dyDescent="0.25">
      <c r="A6067">
        <v>5</v>
      </c>
    </row>
    <row r="6068" spans="1:1" x14ac:dyDescent="0.25">
      <c r="A6068">
        <v>646</v>
      </c>
    </row>
    <row r="6069" spans="1:1" x14ac:dyDescent="0.25">
      <c r="A6069" t="s">
        <v>1681</v>
      </c>
    </row>
    <row r="6070" spans="1:1" x14ac:dyDescent="0.25">
      <c r="A6070" t="s">
        <v>1682</v>
      </c>
    </row>
    <row r="6071" spans="1:1" x14ac:dyDescent="0.25">
      <c r="A6071" t="s">
        <v>1680</v>
      </c>
    </row>
    <row r="6072" spans="1:1" x14ac:dyDescent="0.25">
      <c r="A6072">
        <v>4605</v>
      </c>
    </row>
    <row r="6073" spans="1:1" x14ac:dyDescent="0.25">
      <c r="A6073">
        <v>310</v>
      </c>
    </row>
    <row r="6074" spans="1:1" x14ac:dyDescent="0.25">
      <c r="A6074">
        <v>183</v>
      </c>
    </row>
    <row r="6075" spans="1:1" x14ac:dyDescent="0.25">
      <c r="A6075">
        <v>245</v>
      </c>
    </row>
    <row r="6076" spans="1:1" x14ac:dyDescent="0.25">
      <c r="A6076">
        <v>5</v>
      </c>
    </row>
    <row r="6077" spans="1:1" x14ac:dyDescent="0.25">
      <c r="A6077">
        <v>646</v>
      </c>
    </row>
    <row r="6078" spans="1:1" x14ac:dyDescent="0.25">
      <c r="A6078" t="s">
        <v>1683</v>
      </c>
    </row>
    <row r="6079" spans="1:1" x14ac:dyDescent="0.25">
      <c r="A6079" t="s">
        <v>1684</v>
      </c>
    </row>
    <row r="6080" spans="1:1" x14ac:dyDescent="0.25">
      <c r="A6080" t="s">
        <v>1680</v>
      </c>
    </row>
    <row r="6081" spans="1:1" x14ac:dyDescent="0.25">
      <c r="A6081">
        <v>4605</v>
      </c>
    </row>
    <row r="6082" spans="1:1" x14ac:dyDescent="0.25">
      <c r="A6082">
        <v>310</v>
      </c>
    </row>
    <row r="6083" spans="1:1" x14ac:dyDescent="0.25">
      <c r="A6083">
        <v>183</v>
      </c>
    </row>
    <row r="6084" spans="1:1" x14ac:dyDescent="0.25">
      <c r="A6084">
        <v>245</v>
      </c>
    </row>
    <row r="6085" spans="1:1" x14ac:dyDescent="0.25">
      <c r="A6085">
        <v>5</v>
      </c>
    </row>
    <row r="6086" spans="1:1" x14ac:dyDescent="0.25">
      <c r="A6086">
        <v>647</v>
      </c>
    </row>
    <row r="6087" spans="1:1" x14ac:dyDescent="0.25">
      <c r="A6087" t="s">
        <v>1685</v>
      </c>
    </row>
    <row r="6088" spans="1:1" x14ac:dyDescent="0.25">
      <c r="A6088" t="s">
        <v>1686</v>
      </c>
    </row>
    <row r="6089" spans="1:1" x14ac:dyDescent="0.25">
      <c r="A6089" t="s">
        <v>908</v>
      </c>
    </row>
    <row r="6090" spans="1:1" x14ac:dyDescent="0.25">
      <c r="A6090">
        <v>3698</v>
      </c>
    </row>
    <row r="6091" spans="1:1" x14ac:dyDescent="0.25">
      <c r="A6091">
        <v>260</v>
      </c>
    </row>
    <row r="6092" spans="1:1" x14ac:dyDescent="0.25">
      <c r="A6092">
        <v>192</v>
      </c>
    </row>
    <row r="6093" spans="1:1" x14ac:dyDescent="0.25">
      <c r="A6093">
        <v>209</v>
      </c>
    </row>
    <row r="6094" spans="1:1" x14ac:dyDescent="0.25">
      <c r="A6094">
        <v>5</v>
      </c>
    </row>
    <row r="6095" spans="1:1" x14ac:dyDescent="0.25">
      <c r="A6095">
        <v>647</v>
      </c>
    </row>
    <row r="6096" spans="1:1" x14ac:dyDescent="0.25">
      <c r="A6096" t="s">
        <v>1687</v>
      </c>
    </row>
    <row r="6097" spans="1:1" x14ac:dyDescent="0.25">
      <c r="A6097" t="s">
        <v>1688</v>
      </c>
    </row>
    <row r="6098" spans="1:1" x14ac:dyDescent="0.25">
      <c r="A6098" t="s">
        <v>908</v>
      </c>
    </row>
    <row r="6099" spans="1:1" x14ac:dyDescent="0.25">
      <c r="A6099">
        <v>3698</v>
      </c>
    </row>
    <row r="6100" spans="1:1" x14ac:dyDescent="0.25">
      <c r="A6100">
        <v>260</v>
      </c>
    </row>
    <row r="6101" spans="1:1" x14ac:dyDescent="0.25">
      <c r="A6101">
        <v>192</v>
      </c>
    </row>
    <row r="6102" spans="1:1" x14ac:dyDescent="0.25">
      <c r="A6102">
        <v>209</v>
      </c>
    </row>
    <row r="6103" spans="1:1" x14ac:dyDescent="0.25">
      <c r="A6103">
        <v>5</v>
      </c>
    </row>
    <row r="6104" spans="1:1" x14ac:dyDescent="0.25">
      <c r="A6104">
        <v>648</v>
      </c>
    </row>
    <row r="6105" spans="1:1" x14ac:dyDescent="0.25">
      <c r="A6105" t="s">
        <v>1689</v>
      </c>
    </row>
    <row r="6106" spans="1:1" x14ac:dyDescent="0.25">
      <c r="A6106" t="s">
        <v>1690</v>
      </c>
    </row>
    <row r="6107" spans="1:1" x14ac:dyDescent="0.25">
      <c r="A6107" t="s">
        <v>1099</v>
      </c>
    </row>
    <row r="6108" spans="1:1" x14ac:dyDescent="0.25">
      <c r="A6108">
        <v>3972</v>
      </c>
    </row>
    <row r="6109" spans="1:1" x14ac:dyDescent="0.25">
      <c r="A6109">
        <v>250</v>
      </c>
    </row>
    <row r="6110" spans="1:1" x14ac:dyDescent="0.25">
      <c r="A6110">
        <v>225</v>
      </c>
    </row>
    <row r="6111" spans="1:1" x14ac:dyDescent="0.25">
      <c r="A6111">
        <v>225</v>
      </c>
    </row>
    <row r="6112" spans="1:1" x14ac:dyDescent="0.25">
      <c r="A6112">
        <v>5</v>
      </c>
    </row>
    <row r="6113" spans="1:1" x14ac:dyDescent="0.25">
      <c r="A6113">
        <v>648</v>
      </c>
    </row>
    <row r="6114" spans="1:1" x14ac:dyDescent="0.25">
      <c r="A6114" t="s">
        <v>1691</v>
      </c>
    </row>
    <row r="6115" spans="1:1" x14ac:dyDescent="0.25">
      <c r="A6115" t="s">
        <v>1692</v>
      </c>
    </row>
    <row r="6116" spans="1:1" x14ac:dyDescent="0.25">
      <c r="A6116" t="s">
        <v>1693</v>
      </c>
    </row>
    <row r="6117" spans="1:1" x14ac:dyDescent="0.25">
      <c r="A6117">
        <v>3915</v>
      </c>
    </row>
    <row r="6118" spans="1:1" x14ac:dyDescent="0.25">
      <c r="A6118">
        <v>269</v>
      </c>
    </row>
    <row r="6119" spans="1:1" x14ac:dyDescent="0.25">
      <c r="A6119">
        <v>188</v>
      </c>
    </row>
    <row r="6120" spans="1:1" x14ac:dyDescent="0.25">
      <c r="A6120">
        <v>225</v>
      </c>
    </row>
    <row r="6121" spans="1:1" x14ac:dyDescent="0.25">
      <c r="A6121">
        <v>5</v>
      </c>
    </row>
    <row r="6122" spans="1:1" x14ac:dyDescent="0.25">
      <c r="A6122">
        <v>649</v>
      </c>
    </row>
    <row r="6123" spans="1:1" x14ac:dyDescent="0.25">
      <c r="A6123" t="s">
        <v>1694</v>
      </c>
    </row>
    <row r="6124" spans="1:1" x14ac:dyDescent="0.25">
      <c r="A6124" t="s">
        <v>766</v>
      </c>
    </row>
    <row r="6125" spans="1:1" x14ac:dyDescent="0.25">
      <c r="A6125" t="s">
        <v>1102</v>
      </c>
    </row>
    <row r="6126" spans="1:1" x14ac:dyDescent="0.25">
      <c r="A6126">
        <v>3353</v>
      </c>
    </row>
    <row r="6127" spans="1:1" x14ac:dyDescent="0.25">
      <c r="A6127">
        <v>252</v>
      </c>
    </row>
    <row r="6128" spans="1:1" x14ac:dyDescent="0.25">
      <c r="A6128">
        <v>199</v>
      </c>
    </row>
    <row r="6129" spans="1:1" x14ac:dyDescent="0.25">
      <c r="A6129">
        <v>174</v>
      </c>
    </row>
    <row r="6130" spans="1:1" x14ac:dyDescent="0.25">
      <c r="A6130">
        <v>5</v>
      </c>
    </row>
    <row r="6131" spans="1:1" x14ac:dyDescent="0.25">
      <c r="A6131">
        <v>649</v>
      </c>
    </row>
    <row r="6132" spans="1:1" x14ac:dyDescent="0.25">
      <c r="A6132" t="s">
        <v>1695</v>
      </c>
    </row>
    <row r="6133" spans="1:1" x14ac:dyDescent="0.25">
      <c r="A6133" t="s">
        <v>1696</v>
      </c>
    </row>
    <row r="6134" spans="1:1" x14ac:dyDescent="0.25">
      <c r="A6134" t="s">
        <v>1102</v>
      </c>
    </row>
    <row r="6135" spans="1:1" x14ac:dyDescent="0.25">
      <c r="A6135">
        <v>3353</v>
      </c>
    </row>
    <row r="6136" spans="1:1" x14ac:dyDescent="0.25">
      <c r="A6136">
        <v>252</v>
      </c>
    </row>
    <row r="6137" spans="1:1" x14ac:dyDescent="0.25">
      <c r="A6137">
        <v>199</v>
      </c>
    </row>
    <row r="6138" spans="1:1" x14ac:dyDescent="0.25">
      <c r="A6138">
        <v>174</v>
      </c>
    </row>
    <row r="6139" spans="1:1" x14ac:dyDescent="0.25">
      <c r="A6139">
        <v>5</v>
      </c>
    </row>
    <row r="6140" spans="1:1" x14ac:dyDescent="0.25">
      <c r="A6140">
        <v>649</v>
      </c>
    </row>
    <row r="6141" spans="1:1" x14ac:dyDescent="0.25">
      <c r="A6141" t="s">
        <v>1697</v>
      </c>
    </row>
    <row r="6142" spans="1:1" x14ac:dyDescent="0.25">
      <c r="A6142" t="s">
        <v>1698</v>
      </c>
    </row>
    <row r="6143" spans="1:1" x14ac:dyDescent="0.25">
      <c r="A6143" t="s">
        <v>1102</v>
      </c>
    </row>
    <row r="6144" spans="1:1" x14ac:dyDescent="0.25">
      <c r="A6144">
        <v>3353</v>
      </c>
    </row>
    <row r="6145" spans="1:1" x14ac:dyDescent="0.25">
      <c r="A6145">
        <v>252</v>
      </c>
    </row>
    <row r="6146" spans="1:1" x14ac:dyDescent="0.25">
      <c r="A6146">
        <v>199</v>
      </c>
    </row>
    <row r="6147" spans="1:1" x14ac:dyDescent="0.25">
      <c r="A6147">
        <v>174</v>
      </c>
    </row>
    <row r="6148" spans="1:1" x14ac:dyDescent="0.25">
      <c r="A6148">
        <v>5</v>
      </c>
    </row>
    <row r="6149" spans="1:1" x14ac:dyDescent="0.25">
      <c r="A6149">
        <v>649</v>
      </c>
    </row>
    <row r="6150" spans="1:1" x14ac:dyDescent="0.25">
      <c r="A6150" t="s">
        <v>1699</v>
      </c>
    </row>
    <row r="6151" spans="1:1" x14ac:dyDescent="0.25">
      <c r="A6151" t="s">
        <v>1700</v>
      </c>
    </row>
    <row r="6152" spans="1:1" x14ac:dyDescent="0.25">
      <c r="A6152" t="s">
        <v>1102</v>
      </c>
    </row>
    <row r="6153" spans="1:1" x14ac:dyDescent="0.25">
      <c r="A6153">
        <v>3353</v>
      </c>
    </row>
    <row r="6154" spans="1:1" x14ac:dyDescent="0.25">
      <c r="A6154">
        <v>252</v>
      </c>
    </row>
    <row r="6155" spans="1:1" x14ac:dyDescent="0.25">
      <c r="A6155">
        <v>199</v>
      </c>
    </row>
    <row r="6156" spans="1:1" x14ac:dyDescent="0.25">
      <c r="A6156">
        <v>174</v>
      </c>
    </row>
    <row r="6157" spans="1:1" x14ac:dyDescent="0.25">
      <c r="A6157">
        <v>5</v>
      </c>
    </row>
    <row r="6158" spans="1:1" x14ac:dyDescent="0.25">
      <c r="A6158">
        <v>649</v>
      </c>
    </row>
    <row r="6159" spans="1:1" x14ac:dyDescent="0.25">
      <c r="A6159" t="s">
        <v>1701</v>
      </c>
    </row>
    <row r="6160" spans="1:1" x14ac:dyDescent="0.25">
      <c r="A6160" t="s">
        <v>1702</v>
      </c>
    </row>
    <row r="6161" spans="1:1" x14ac:dyDescent="0.25">
      <c r="A6161" t="s">
        <v>1102</v>
      </c>
    </row>
    <row r="6162" spans="1:1" x14ac:dyDescent="0.25">
      <c r="A6162">
        <v>3353</v>
      </c>
    </row>
    <row r="6163" spans="1:1" x14ac:dyDescent="0.25">
      <c r="A6163">
        <v>252</v>
      </c>
    </row>
    <row r="6164" spans="1:1" x14ac:dyDescent="0.25">
      <c r="A6164">
        <v>199</v>
      </c>
    </row>
    <row r="6165" spans="1:1" x14ac:dyDescent="0.25">
      <c r="A6165">
        <v>174</v>
      </c>
    </row>
    <row r="6166" spans="1:1" x14ac:dyDescent="0.25">
      <c r="A6166">
        <v>5</v>
      </c>
    </row>
    <row r="6167" spans="1:1" x14ac:dyDescent="0.25">
      <c r="A6167">
        <v>650</v>
      </c>
    </row>
    <row r="6168" spans="1:1" x14ac:dyDescent="0.25">
      <c r="A6168" t="s">
        <v>1703</v>
      </c>
    </row>
    <row r="6169" spans="1:1" x14ac:dyDescent="0.25">
      <c r="A6169" t="s">
        <v>1704</v>
      </c>
    </row>
    <row r="6170" spans="1:1" x14ac:dyDescent="0.25">
      <c r="A6170" t="s">
        <v>988</v>
      </c>
    </row>
    <row r="6171" spans="1:1" x14ac:dyDescent="0.25">
      <c r="A6171">
        <v>1096</v>
      </c>
    </row>
    <row r="6172" spans="1:1" x14ac:dyDescent="0.25">
      <c r="A6172">
        <v>110</v>
      </c>
    </row>
    <row r="6173" spans="1:1" x14ac:dyDescent="0.25">
      <c r="A6173">
        <v>106</v>
      </c>
    </row>
    <row r="6174" spans="1:1" x14ac:dyDescent="0.25">
      <c r="A6174">
        <v>148</v>
      </c>
    </row>
    <row r="6175" spans="1:1" x14ac:dyDescent="0.25">
      <c r="A6175">
        <v>6</v>
      </c>
    </row>
    <row r="6176" spans="1:1" x14ac:dyDescent="0.25">
      <c r="A6176">
        <v>651</v>
      </c>
    </row>
    <row r="6177" spans="1:1" x14ac:dyDescent="0.25">
      <c r="A6177" t="s">
        <v>1705</v>
      </c>
    </row>
    <row r="6178" spans="1:1" x14ac:dyDescent="0.25">
      <c r="A6178" t="s">
        <v>1706</v>
      </c>
    </row>
    <row r="6179" spans="1:1" x14ac:dyDescent="0.25">
      <c r="A6179" t="s">
        <v>988</v>
      </c>
    </row>
    <row r="6180" spans="1:1" x14ac:dyDescent="0.25">
      <c r="A6180">
        <v>1719</v>
      </c>
    </row>
    <row r="6181" spans="1:1" x14ac:dyDescent="0.25">
      <c r="A6181">
        <v>146</v>
      </c>
    </row>
    <row r="6182" spans="1:1" x14ac:dyDescent="0.25">
      <c r="A6182">
        <v>156</v>
      </c>
    </row>
    <row r="6183" spans="1:1" x14ac:dyDescent="0.25">
      <c r="A6183">
        <v>156</v>
      </c>
    </row>
    <row r="6184" spans="1:1" x14ac:dyDescent="0.25">
      <c r="A6184">
        <v>6</v>
      </c>
    </row>
    <row r="6185" spans="1:1" x14ac:dyDescent="0.25">
      <c r="A6185">
        <v>652</v>
      </c>
    </row>
    <row r="6186" spans="1:1" x14ac:dyDescent="0.25">
      <c r="A6186" t="s">
        <v>1707</v>
      </c>
    </row>
    <row r="6187" spans="1:1" x14ac:dyDescent="0.25">
      <c r="A6187" t="s">
        <v>1708</v>
      </c>
    </row>
    <row r="6188" spans="1:1" x14ac:dyDescent="0.25">
      <c r="A6188" t="s">
        <v>1201</v>
      </c>
    </row>
    <row r="6189" spans="1:1" x14ac:dyDescent="0.25">
      <c r="A6189">
        <v>2954</v>
      </c>
    </row>
    <row r="6190" spans="1:1" x14ac:dyDescent="0.25">
      <c r="A6190">
        <v>201</v>
      </c>
    </row>
    <row r="6191" spans="1:1" x14ac:dyDescent="0.25">
      <c r="A6191">
        <v>204</v>
      </c>
    </row>
    <row r="6192" spans="1:1" x14ac:dyDescent="0.25">
      <c r="A6192">
        <v>204</v>
      </c>
    </row>
    <row r="6193" spans="1:1" x14ac:dyDescent="0.25">
      <c r="A6193">
        <v>6</v>
      </c>
    </row>
    <row r="6194" spans="1:1" x14ac:dyDescent="0.25">
      <c r="A6194">
        <v>653</v>
      </c>
    </row>
    <row r="6195" spans="1:1" x14ac:dyDescent="0.25">
      <c r="A6195" t="s">
        <v>1709</v>
      </c>
    </row>
    <row r="6196" spans="1:1" x14ac:dyDescent="0.25">
      <c r="A6196" t="s">
        <v>1710</v>
      </c>
    </row>
    <row r="6197" spans="1:1" x14ac:dyDescent="0.25">
      <c r="A6197" t="s">
        <v>804</v>
      </c>
    </row>
    <row r="6198" spans="1:1" x14ac:dyDescent="0.25">
      <c r="A6198">
        <v>1028</v>
      </c>
    </row>
    <row r="6199" spans="1:1" x14ac:dyDescent="0.25">
      <c r="A6199">
        <v>116</v>
      </c>
    </row>
    <row r="6200" spans="1:1" x14ac:dyDescent="0.25">
      <c r="A6200">
        <v>102</v>
      </c>
    </row>
    <row r="6201" spans="1:1" x14ac:dyDescent="0.25">
      <c r="A6201">
        <v>120</v>
      </c>
    </row>
    <row r="6202" spans="1:1" x14ac:dyDescent="0.25">
      <c r="A6202">
        <v>6</v>
      </c>
    </row>
    <row r="6203" spans="1:1" x14ac:dyDescent="0.25">
      <c r="A6203">
        <v>654</v>
      </c>
    </row>
    <row r="6204" spans="1:1" x14ac:dyDescent="0.25">
      <c r="A6204" t="s">
        <v>1711</v>
      </c>
    </row>
    <row r="6205" spans="1:1" x14ac:dyDescent="0.25">
      <c r="A6205" t="s">
        <v>1712</v>
      </c>
    </row>
    <row r="6206" spans="1:1" x14ac:dyDescent="0.25">
      <c r="A6206" t="s">
        <v>804</v>
      </c>
    </row>
    <row r="6207" spans="1:1" x14ac:dyDescent="0.25">
      <c r="A6207">
        <v>1813</v>
      </c>
    </row>
    <row r="6208" spans="1:1" x14ac:dyDescent="0.25">
      <c r="A6208">
        <v>171</v>
      </c>
    </row>
    <row r="6209" spans="1:1" x14ac:dyDescent="0.25">
      <c r="A6209">
        <v>130</v>
      </c>
    </row>
    <row r="6210" spans="1:1" x14ac:dyDescent="0.25">
      <c r="A6210">
        <v>153</v>
      </c>
    </row>
    <row r="6211" spans="1:1" x14ac:dyDescent="0.25">
      <c r="A6211">
        <v>6</v>
      </c>
    </row>
    <row r="6212" spans="1:1" x14ac:dyDescent="0.25">
      <c r="A6212">
        <v>655</v>
      </c>
    </row>
    <row r="6213" spans="1:1" x14ac:dyDescent="0.25">
      <c r="A6213" t="s">
        <v>1713</v>
      </c>
    </row>
    <row r="6214" spans="1:1" x14ac:dyDescent="0.25">
      <c r="A6214" t="s">
        <v>1714</v>
      </c>
    </row>
    <row r="6215" spans="1:1" x14ac:dyDescent="0.25">
      <c r="A6215" t="s">
        <v>1556</v>
      </c>
    </row>
    <row r="6216" spans="1:1" x14ac:dyDescent="0.25">
      <c r="A6216">
        <v>3059</v>
      </c>
    </row>
    <row r="6217" spans="1:1" x14ac:dyDescent="0.25">
      <c r="A6217">
        <v>230</v>
      </c>
    </row>
    <row r="6218" spans="1:1" x14ac:dyDescent="0.25">
      <c r="A6218">
        <v>189</v>
      </c>
    </row>
    <row r="6219" spans="1:1" x14ac:dyDescent="0.25">
      <c r="A6219">
        <v>181</v>
      </c>
    </row>
    <row r="6220" spans="1:1" x14ac:dyDescent="0.25">
      <c r="A6220">
        <v>6</v>
      </c>
    </row>
    <row r="6221" spans="1:1" x14ac:dyDescent="0.25">
      <c r="A6221">
        <v>656</v>
      </c>
    </row>
    <row r="6222" spans="1:1" x14ac:dyDescent="0.25">
      <c r="A6222" t="s">
        <v>1715</v>
      </c>
    </row>
    <row r="6223" spans="1:1" x14ac:dyDescent="0.25">
      <c r="A6223" t="s">
        <v>1716</v>
      </c>
    </row>
    <row r="6224" spans="1:1" x14ac:dyDescent="0.25">
      <c r="A6224" t="s">
        <v>809</v>
      </c>
    </row>
    <row r="6225" spans="1:1" x14ac:dyDescent="0.25">
      <c r="A6225">
        <v>992</v>
      </c>
    </row>
    <row r="6226" spans="1:1" x14ac:dyDescent="0.25">
      <c r="A6226">
        <v>122</v>
      </c>
    </row>
    <row r="6227" spans="1:1" x14ac:dyDescent="0.25">
      <c r="A6227">
        <v>84</v>
      </c>
    </row>
    <row r="6228" spans="1:1" x14ac:dyDescent="0.25">
      <c r="A6228">
        <v>121</v>
      </c>
    </row>
    <row r="6229" spans="1:1" x14ac:dyDescent="0.25">
      <c r="A6229">
        <v>6</v>
      </c>
    </row>
    <row r="6230" spans="1:1" x14ac:dyDescent="0.25">
      <c r="A6230">
        <v>657</v>
      </c>
    </row>
    <row r="6231" spans="1:1" x14ac:dyDescent="0.25">
      <c r="A6231" t="s">
        <v>1717</v>
      </c>
    </row>
    <row r="6232" spans="1:1" x14ac:dyDescent="0.25">
      <c r="A6232" t="s">
        <v>1718</v>
      </c>
    </row>
    <row r="6233" spans="1:1" x14ac:dyDescent="0.25">
      <c r="A6233" t="s">
        <v>809</v>
      </c>
    </row>
    <row r="6234" spans="1:1" x14ac:dyDescent="0.25">
      <c r="A6234">
        <v>1636</v>
      </c>
    </row>
    <row r="6235" spans="1:1" x14ac:dyDescent="0.25">
      <c r="A6235">
        <v>168</v>
      </c>
    </row>
    <row r="6236" spans="1:1" x14ac:dyDescent="0.25">
      <c r="A6236">
        <v>114</v>
      </c>
    </row>
    <row r="6237" spans="1:1" x14ac:dyDescent="0.25">
      <c r="A6237">
        <v>144</v>
      </c>
    </row>
    <row r="6238" spans="1:1" x14ac:dyDescent="0.25">
      <c r="A6238">
        <v>6</v>
      </c>
    </row>
    <row r="6239" spans="1:1" x14ac:dyDescent="0.25">
      <c r="A6239">
        <v>658</v>
      </c>
    </row>
    <row r="6240" spans="1:1" x14ac:dyDescent="0.25">
      <c r="A6240" t="s">
        <v>1719</v>
      </c>
    </row>
    <row r="6241" spans="1:1" x14ac:dyDescent="0.25">
      <c r="A6241" t="s">
        <v>1720</v>
      </c>
    </row>
    <row r="6242" spans="1:1" x14ac:dyDescent="0.25">
      <c r="A6242" t="s">
        <v>1240</v>
      </c>
    </row>
    <row r="6243" spans="1:1" x14ac:dyDescent="0.25">
      <c r="A6243">
        <v>2654</v>
      </c>
    </row>
    <row r="6244" spans="1:1" x14ac:dyDescent="0.25">
      <c r="A6244">
        <v>223</v>
      </c>
    </row>
    <row r="6245" spans="1:1" x14ac:dyDescent="0.25">
      <c r="A6245">
        <v>152</v>
      </c>
    </row>
    <row r="6246" spans="1:1" x14ac:dyDescent="0.25">
      <c r="A6246">
        <v>176</v>
      </c>
    </row>
    <row r="6247" spans="1:1" x14ac:dyDescent="0.25">
      <c r="A6247">
        <v>6</v>
      </c>
    </row>
    <row r="6248" spans="1:1" x14ac:dyDescent="0.25">
      <c r="A6248">
        <v>659</v>
      </c>
    </row>
    <row r="6249" spans="1:1" x14ac:dyDescent="0.25">
      <c r="A6249" t="s">
        <v>1721</v>
      </c>
    </row>
    <row r="6250" spans="1:1" x14ac:dyDescent="0.25">
      <c r="A6250" t="s">
        <v>1722</v>
      </c>
    </row>
    <row r="6251" spans="1:1" x14ac:dyDescent="0.25">
      <c r="A6251" t="s">
        <v>826</v>
      </c>
    </row>
    <row r="6252" spans="1:1" x14ac:dyDescent="0.25">
      <c r="A6252">
        <v>553</v>
      </c>
    </row>
    <row r="6253" spans="1:1" x14ac:dyDescent="0.25">
      <c r="A6253">
        <v>68</v>
      </c>
    </row>
    <row r="6254" spans="1:1" x14ac:dyDescent="0.25">
      <c r="A6254">
        <v>72</v>
      </c>
    </row>
    <row r="6255" spans="1:1" x14ac:dyDescent="0.25">
      <c r="A6255">
        <v>116</v>
      </c>
    </row>
    <row r="6256" spans="1:1" x14ac:dyDescent="0.25">
      <c r="A6256">
        <v>6</v>
      </c>
    </row>
    <row r="6257" spans="1:1" x14ac:dyDescent="0.25">
      <c r="A6257">
        <v>660</v>
      </c>
    </row>
    <row r="6258" spans="1:1" x14ac:dyDescent="0.25">
      <c r="A6258" t="s">
        <v>1723</v>
      </c>
    </row>
    <row r="6259" spans="1:1" x14ac:dyDescent="0.25">
      <c r="A6259" t="s">
        <v>1724</v>
      </c>
    </row>
    <row r="6260" spans="1:1" x14ac:dyDescent="0.25">
      <c r="A6260" t="s">
        <v>1725</v>
      </c>
    </row>
    <row r="6261" spans="1:1" x14ac:dyDescent="0.25">
      <c r="A6261">
        <v>1509</v>
      </c>
    </row>
    <row r="6262" spans="1:1" x14ac:dyDescent="0.25">
      <c r="A6262">
        <v>112</v>
      </c>
    </row>
    <row r="6263" spans="1:1" x14ac:dyDescent="0.25">
      <c r="A6263">
        <v>155</v>
      </c>
    </row>
    <row r="6264" spans="1:1" x14ac:dyDescent="0.25">
      <c r="A6264">
        <v>198</v>
      </c>
    </row>
    <row r="6265" spans="1:1" x14ac:dyDescent="0.25">
      <c r="A6265">
        <v>6</v>
      </c>
    </row>
    <row r="6266" spans="1:1" x14ac:dyDescent="0.25">
      <c r="A6266">
        <v>661</v>
      </c>
    </row>
    <row r="6267" spans="1:1" x14ac:dyDescent="0.25">
      <c r="A6267" t="s">
        <v>1726</v>
      </c>
    </row>
    <row r="6268" spans="1:1" x14ac:dyDescent="0.25">
      <c r="A6268" t="s">
        <v>1727</v>
      </c>
    </row>
    <row r="6269" spans="1:1" x14ac:dyDescent="0.25">
      <c r="A6269" t="s">
        <v>822</v>
      </c>
    </row>
    <row r="6270" spans="1:1" x14ac:dyDescent="0.25">
      <c r="A6270">
        <v>800</v>
      </c>
    </row>
    <row r="6271" spans="1:1" x14ac:dyDescent="0.25">
      <c r="A6271">
        <v>95</v>
      </c>
    </row>
    <row r="6272" spans="1:1" x14ac:dyDescent="0.25">
      <c r="A6272">
        <v>80</v>
      </c>
    </row>
    <row r="6273" spans="1:1" x14ac:dyDescent="0.25">
      <c r="A6273">
        <v>128</v>
      </c>
    </row>
    <row r="6274" spans="1:1" x14ac:dyDescent="0.25">
      <c r="A6274">
        <v>6</v>
      </c>
    </row>
    <row r="6275" spans="1:1" x14ac:dyDescent="0.25">
      <c r="A6275">
        <v>662</v>
      </c>
    </row>
    <row r="6276" spans="1:1" x14ac:dyDescent="0.25">
      <c r="A6276" t="s">
        <v>1728</v>
      </c>
    </row>
    <row r="6277" spans="1:1" x14ac:dyDescent="0.25">
      <c r="A6277" t="s">
        <v>1729</v>
      </c>
    </row>
    <row r="6278" spans="1:1" x14ac:dyDescent="0.25">
      <c r="A6278" t="s">
        <v>807</v>
      </c>
    </row>
    <row r="6279" spans="1:1" x14ac:dyDescent="0.25">
      <c r="A6279">
        <v>1469</v>
      </c>
    </row>
    <row r="6280" spans="1:1" x14ac:dyDescent="0.25">
      <c r="A6280">
        <v>145</v>
      </c>
    </row>
    <row r="6281" spans="1:1" x14ac:dyDescent="0.25">
      <c r="A6281">
        <v>110</v>
      </c>
    </row>
    <row r="6282" spans="1:1" x14ac:dyDescent="0.25">
      <c r="A6282">
        <v>158</v>
      </c>
    </row>
    <row r="6283" spans="1:1" x14ac:dyDescent="0.25">
      <c r="A6283">
        <v>6</v>
      </c>
    </row>
    <row r="6284" spans="1:1" x14ac:dyDescent="0.25">
      <c r="A6284">
        <v>663</v>
      </c>
    </row>
    <row r="6285" spans="1:1" x14ac:dyDescent="0.25">
      <c r="A6285" t="s">
        <v>1730</v>
      </c>
    </row>
    <row r="6286" spans="1:1" x14ac:dyDescent="0.25">
      <c r="A6286" t="s">
        <v>1731</v>
      </c>
    </row>
    <row r="6287" spans="1:1" x14ac:dyDescent="0.25">
      <c r="A6287" t="s">
        <v>807</v>
      </c>
    </row>
    <row r="6288" spans="1:1" x14ac:dyDescent="0.25">
      <c r="A6288">
        <v>2205</v>
      </c>
    </row>
    <row r="6289" spans="1:1" x14ac:dyDescent="0.25">
      <c r="A6289">
        <v>176</v>
      </c>
    </row>
    <row r="6290" spans="1:1" x14ac:dyDescent="0.25">
      <c r="A6290">
        <v>155</v>
      </c>
    </row>
    <row r="6291" spans="1:1" x14ac:dyDescent="0.25">
      <c r="A6291">
        <v>186</v>
      </c>
    </row>
    <row r="6292" spans="1:1" x14ac:dyDescent="0.25">
      <c r="A6292">
        <v>6</v>
      </c>
    </row>
    <row r="6293" spans="1:1" x14ac:dyDescent="0.25">
      <c r="A6293">
        <v>664</v>
      </c>
    </row>
    <row r="6294" spans="1:1" x14ac:dyDescent="0.25">
      <c r="A6294" t="s">
        <v>1732</v>
      </c>
    </row>
    <row r="6295" spans="1:1" x14ac:dyDescent="0.25">
      <c r="A6295" t="s">
        <v>1733</v>
      </c>
    </row>
    <row r="6296" spans="1:1" x14ac:dyDescent="0.25">
      <c r="A6296" t="s">
        <v>813</v>
      </c>
    </row>
    <row r="6297" spans="1:1" x14ac:dyDescent="0.25">
      <c r="A6297">
        <v>492</v>
      </c>
    </row>
    <row r="6298" spans="1:1" x14ac:dyDescent="0.25">
      <c r="A6298">
        <v>63</v>
      </c>
    </row>
    <row r="6299" spans="1:1" x14ac:dyDescent="0.25">
      <c r="A6299">
        <v>63</v>
      </c>
    </row>
    <row r="6300" spans="1:1" x14ac:dyDescent="0.25">
      <c r="A6300">
        <v>116</v>
      </c>
    </row>
    <row r="6301" spans="1:1" x14ac:dyDescent="0.25">
      <c r="A6301">
        <v>6</v>
      </c>
    </row>
    <row r="6302" spans="1:1" x14ac:dyDescent="0.25">
      <c r="A6302">
        <v>665</v>
      </c>
    </row>
    <row r="6303" spans="1:1" x14ac:dyDescent="0.25">
      <c r="A6303" t="s">
        <v>1734</v>
      </c>
    </row>
    <row r="6304" spans="1:1" x14ac:dyDescent="0.25">
      <c r="A6304" t="s">
        <v>1735</v>
      </c>
    </row>
    <row r="6305" spans="1:1" x14ac:dyDescent="0.25">
      <c r="A6305" t="s">
        <v>813</v>
      </c>
    </row>
    <row r="6306" spans="1:1" x14ac:dyDescent="0.25">
      <c r="A6306">
        <v>479</v>
      </c>
    </row>
    <row r="6307" spans="1:1" x14ac:dyDescent="0.25">
      <c r="A6307">
        <v>48</v>
      </c>
    </row>
    <row r="6308" spans="1:1" x14ac:dyDescent="0.25">
      <c r="A6308">
        <v>89</v>
      </c>
    </row>
    <row r="6309" spans="1:1" x14ac:dyDescent="0.25">
      <c r="A6309">
        <v>128</v>
      </c>
    </row>
    <row r="6310" spans="1:1" x14ac:dyDescent="0.25">
      <c r="A6310">
        <v>6</v>
      </c>
    </row>
    <row r="6311" spans="1:1" x14ac:dyDescent="0.25">
      <c r="A6311">
        <v>666</v>
      </c>
    </row>
    <row r="6312" spans="1:1" x14ac:dyDescent="0.25">
      <c r="A6312" t="s">
        <v>1736</v>
      </c>
    </row>
    <row r="6313" spans="1:1" x14ac:dyDescent="0.25">
      <c r="A6313" t="s">
        <v>1737</v>
      </c>
    </row>
    <row r="6314" spans="1:1" x14ac:dyDescent="0.25">
      <c r="A6314" t="s">
        <v>816</v>
      </c>
    </row>
    <row r="6315" spans="1:1" x14ac:dyDescent="0.25">
      <c r="A6315">
        <v>1855</v>
      </c>
    </row>
    <row r="6316" spans="1:1" x14ac:dyDescent="0.25">
      <c r="A6316">
        <v>176</v>
      </c>
    </row>
    <row r="6317" spans="1:1" x14ac:dyDescent="0.25">
      <c r="A6317">
        <v>103</v>
      </c>
    </row>
    <row r="6318" spans="1:1" x14ac:dyDescent="0.25">
      <c r="A6318">
        <v>190</v>
      </c>
    </row>
    <row r="6319" spans="1:1" x14ac:dyDescent="0.25">
      <c r="A6319">
        <v>6</v>
      </c>
    </row>
    <row r="6320" spans="1:1" x14ac:dyDescent="0.25">
      <c r="A6320">
        <v>667</v>
      </c>
    </row>
    <row r="6321" spans="1:1" x14ac:dyDescent="0.25">
      <c r="A6321" t="s">
        <v>1738</v>
      </c>
    </row>
    <row r="6322" spans="1:1" x14ac:dyDescent="0.25">
      <c r="A6322" t="s">
        <v>1739</v>
      </c>
    </row>
    <row r="6323" spans="1:1" x14ac:dyDescent="0.25">
      <c r="A6323" t="s">
        <v>1740</v>
      </c>
    </row>
    <row r="6324" spans="1:1" x14ac:dyDescent="0.25">
      <c r="A6324">
        <v>1425</v>
      </c>
    </row>
    <row r="6325" spans="1:1" x14ac:dyDescent="0.25">
      <c r="A6325">
        <v>139</v>
      </c>
    </row>
    <row r="6326" spans="1:1" x14ac:dyDescent="0.25">
      <c r="A6326">
        <v>112</v>
      </c>
    </row>
    <row r="6327" spans="1:1" x14ac:dyDescent="0.25">
      <c r="A6327">
        <v>158</v>
      </c>
    </row>
    <row r="6328" spans="1:1" x14ac:dyDescent="0.25">
      <c r="A6328">
        <v>6</v>
      </c>
    </row>
    <row r="6329" spans="1:1" x14ac:dyDescent="0.25">
      <c r="A6329">
        <v>668</v>
      </c>
    </row>
    <row r="6330" spans="1:1" x14ac:dyDescent="0.25">
      <c r="A6330" t="s">
        <v>1741</v>
      </c>
    </row>
    <row r="6331" spans="1:1" x14ac:dyDescent="0.25">
      <c r="A6331" t="s">
        <v>1742</v>
      </c>
    </row>
    <row r="6332" spans="1:1" x14ac:dyDescent="0.25">
      <c r="A6332" t="s">
        <v>1740</v>
      </c>
    </row>
    <row r="6333" spans="1:1" x14ac:dyDescent="0.25">
      <c r="A6333">
        <v>2767</v>
      </c>
    </row>
    <row r="6334" spans="1:1" x14ac:dyDescent="0.25">
      <c r="A6334">
        <v>221</v>
      </c>
    </row>
    <row r="6335" spans="1:1" x14ac:dyDescent="0.25">
      <c r="A6335">
        <v>149</v>
      </c>
    </row>
    <row r="6336" spans="1:1" x14ac:dyDescent="0.25">
      <c r="A6336">
        <v>200</v>
      </c>
    </row>
    <row r="6337" spans="1:1" x14ac:dyDescent="0.25">
      <c r="A6337">
        <v>6</v>
      </c>
    </row>
    <row r="6338" spans="1:1" x14ac:dyDescent="0.25">
      <c r="A6338">
        <v>669</v>
      </c>
    </row>
    <row r="6339" spans="1:1" x14ac:dyDescent="0.25">
      <c r="A6339" t="s">
        <v>1743</v>
      </c>
    </row>
    <row r="6340" spans="1:1" x14ac:dyDescent="0.25">
      <c r="A6340" t="s">
        <v>1744</v>
      </c>
    </row>
    <row r="6341" spans="1:1" x14ac:dyDescent="0.25">
      <c r="A6341" t="s">
        <v>860</v>
      </c>
    </row>
    <row r="6342" spans="1:1" x14ac:dyDescent="0.25">
      <c r="A6342">
        <v>1063</v>
      </c>
    </row>
    <row r="6343" spans="1:1" x14ac:dyDescent="0.25">
      <c r="A6343">
        <v>108</v>
      </c>
    </row>
    <row r="6344" spans="1:1" x14ac:dyDescent="0.25">
      <c r="A6344">
        <v>120</v>
      </c>
    </row>
    <row r="6345" spans="1:1" x14ac:dyDescent="0.25">
      <c r="A6345">
        <v>127</v>
      </c>
    </row>
    <row r="6346" spans="1:1" x14ac:dyDescent="0.25">
      <c r="A6346">
        <v>6</v>
      </c>
    </row>
    <row r="6347" spans="1:1" x14ac:dyDescent="0.25">
      <c r="A6347">
        <v>670</v>
      </c>
    </row>
    <row r="6348" spans="1:1" x14ac:dyDescent="0.25">
      <c r="A6348" t="s">
        <v>1745</v>
      </c>
    </row>
    <row r="6349" spans="1:1" x14ac:dyDescent="0.25">
      <c r="A6349" t="s">
        <v>1746</v>
      </c>
    </row>
    <row r="6350" spans="1:1" x14ac:dyDescent="0.25">
      <c r="A6350" t="s">
        <v>860</v>
      </c>
    </row>
    <row r="6351" spans="1:1" x14ac:dyDescent="0.25">
      <c r="A6351">
        <v>1532</v>
      </c>
    </row>
    <row r="6352" spans="1:1" x14ac:dyDescent="0.25">
      <c r="A6352">
        <v>136</v>
      </c>
    </row>
    <row r="6353" spans="1:1" x14ac:dyDescent="0.25">
      <c r="A6353">
        <v>151</v>
      </c>
    </row>
    <row r="6354" spans="1:1" x14ac:dyDescent="0.25">
      <c r="A6354">
        <v>144</v>
      </c>
    </row>
    <row r="6355" spans="1:1" x14ac:dyDescent="0.25">
      <c r="A6355">
        <v>6</v>
      </c>
    </row>
    <row r="6356" spans="1:1" x14ac:dyDescent="0.25">
      <c r="A6356">
        <v>671</v>
      </c>
    </row>
    <row r="6357" spans="1:1" x14ac:dyDescent="0.25">
      <c r="A6357" t="s">
        <v>1747</v>
      </c>
    </row>
    <row r="6358" spans="1:1" x14ac:dyDescent="0.25">
      <c r="A6358" t="s">
        <v>1748</v>
      </c>
    </row>
    <row r="6359" spans="1:1" x14ac:dyDescent="0.25">
      <c r="A6359" t="s">
        <v>860</v>
      </c>
    </row>
    <row r="6360" spans="1:1" x14ac:dyDescent="0.25">
      <c r="A6360">
        <v>3234</v>
      </c>
    </row>
    <row r="6361" spans="1:1" x14ac:dyDescent="0.25">
      <c r="A6361">
        <v>212</v>
      </c>
    </row>
    <row r="6362" spans="1:1" x14ac:dyDescent="0.25">
      <c r="A6362">
        <v>244</v>
      </c>
    </row>
    <row r="6363" spans="1:1" x14ac:dyDescent="0.25">
      <c r="A6363">
        <v>186</v>
      </c>
    </row>
    <row r="6364" spans="1:1" x14ac:dyDescent="0.25">
      <c r="A6364">
        <v>6</v>
      </c>
    </row>
    <row r="6365" spans="1:1" x14ac:dyDescent="0.25">
      <c r="A6365">
        <v>672</v>
      </c>
    </row>
    <row r="6366" spans="1:1" x14ac:dyDescent="0.25">
      <c r="A6366" t="s">
        <v>1749</v>
      </c>
    </row>
    <row r="6367" spans="1:1" x14ac:dyDescent="0.25">
      <c r="A6367" t="s">
        <v>1750</v>
      </c>
    </row>
    <row r="6368" spans="1:1" x14ac:dyDescent="0.25">
      <c r="A6368" t="s">
        <v>988</v>
      </c>
    </row>
    <row r="6369" spans="1:1" x14ac:dyDescent="0.25">
      <c r="A6369">
        <v>1250</v>
      </c>
    </row>
    <row r="6370" spans="1:1" x14ac:dyDescent="0.25">
      <c r="A6370">
        <v>123</v>
      </c>
    </row>
    <row r="6371" spans="1:1" x14ac:dyDescent="0.25">
      <c r="A6371">
        <v>102</v>
      </c>
    </row>
    <row r="6372" spans="1:1" x14ac:dyDescent="0.25">
      <c r="A6372">
        <v>165</v>
      </c>
    </row>
    <row r="6373" spans="1:1" x14ac:dyDescent="0.25">
      <c r="A6373">
        <v>6</v>
      </c>
    </row>
    <row r="6374" spans="1:1" x14ac:dyDescent="0.25">
      <c r="A6374">
        <v>673</v>
      </c>
    </row>
    <row r="6375" spans="1:1" x14ac:dyDescent="0.25">
      <c r="A6375" t="s">
        <v>1751</v>
      </c>
    </row>
    <row r="6376" spans="1:1" x14ac:dyDescent="0.25">
      <c r="A6376" t="s">
        <v>1752</v>
      </c>
    </row>
    <row r="6377" spans="1:1" x14ac:dyDescent="0.25">
      <c r="A6377" t="s">
        <v>988</v>
      </c>
    </row>
    <row r="6378" spans="1:1" x14ac:dyDescent="0.25">
      <c r="A6378">
        <v>2798</v>
      </c>
    </row>
    <row r="6379" spans="1:1" x14ac:dyDescent="0.25">
      <c r="A6379">
        <v>196</v>
      </c>
    </row>
    <row r="6380" spans="1:1" x14ac:dyDescent="0.25">
      <c r="A6380">
        <v>146</v>
      </c>
    </row>
    <row r="6381" spans="1:1" x14ac:dyDescent="0.25">
      <c r="A6381">
        <v>265</v>
      </c>
    </row>
    <row r="6382" spans="1:1" x14ac:dyDescent="0.25">
      <c r="A6382">
        <v>6</v>
      </c>
    </row>
    <row r="6383" spans="1:1" x14ac:dyDescent="0.25">
      <c r="A6383">
        <v>674</v>
      </c>
    </row>
    <row r="6384" spans="1:1" x14ac:dyDescent="0.25">
      <c r="A6384" t="s">
        <v>1753</v>
      </c>
    </row>
    <row r="6385" spans="1:1" x14ac:dyDescent="0.25">
      <c r="A6385" t="s">
        <v>1754</v>
      </c>
    </row>
    <row r="6386" spans="1:1" x14ac:dyDescent="0.25">
      <c r="A6386" t="s">
        <v>901</v>
      </c>
    </row>
    <row r="6387" spans="1:1" x14ac:dyDescent="0.25">
      <c r="A6387">
        <v>1489</v>
      </c>
    </row>
    <row r="6388" spans="1:1" x14ac:dyDescent="0.25">
      <c r="A6388">
        <v>145</v>
      </c>
    </row>
    <row r="6389" spans="1:1" x14ac:dyDescent="0.25">
      <c r="A6389">
        <v>107</v>
      </c>
    </row>
    <row r="6390" spans="1:1" x14ac:dyDescent="0.25">
      <c r="A6390">
        <v>167</v>
      </c>
    </row>
    <row r="6391" spans="1:1" x14ac:dyDescent="0.25">
      <c r="A6391">
        <v>6</v>
      </c>
    </row>
    <row r="6392" spans="1:1" x14ac:dyDescent="0.25">
      <c r="A6392">
        <v>675</v>
      </c>
    </row>
    <row r="6393" spans="1:1" x14ac:dyDescent="0.25">
      <c r="A6393" t="s">
        <v>1755</v>
      </c>
    </row>
    <row r="6394" spans="1:1" x14ac:dyDescent="0.25">
      <c r="A6394" t="s">
        <v>1756</v>
      </c>
    </row>
    <row r="6395" spans="1:1" x14ac:dyDescent="0.25">
      <c r="A6395" t="s">
        <v>1757</v>
      </c>
    </row>
    <row r="6396" spans="1:1" x14ac:dyDescent="0.25">
      <c r="A6396">
        <v>2902</v>
      </c>
    </row>
    <row r="6397" spans="1:1" x14ac:dyDescent="0.25">
      <c r="A6397">
        <v>226</v>
      </c>
    </row>
    <row r="6398" spans="1:1" x14ac:dyDescent="0.25">
      <c r="A6398">
        <v>146</v>
      </c>
    </row>
    <row r="6399" spans="1:1" x14ac:dyDescent="0.25">
      <c r="A6399">
        <v>216</v>
      </c>
    </row>
    <row r="6400" spans="1:1" x14ac:dyDescent="0.25">
      <c r="A6400">
        <v>6</v>
      </c>
    </row>
    <row r="6401" spans="1:1" x14ac:dyDescent="0.25">
      <c r="A6401">
        <v>676</v>
      </c>
    </row>
    <row r="6402" spans="1:1" x14ac:dyDescent="0.25">
      <c r="A6402" t="s">
        <v>1758</v>
      </c>
    </row>
    <row r="6403" spans="1:1" x14ac:dyDescent="0.25">
      <c r="A6403" t="s">
        <v>1759</v>
      </c>
    </row>
    <row r="6404" spans="1:1" x14ac:dyDescent="0.25">
      <c r="A6404" t="s">
        <v>826</v>
      </c>
    </row>
    <row r="6405" spans="1:1" x14ac:dyDescent="0.25">
      <c r="A6405">
        <v>2111</v>
      </c>
    </row>
    <row r="6406" spans="1:1" x14ac:dyDescent="0.25">
      <c r="A6406">
        <v>164</v>
      </c>
    </row>
    <row r="6407" spans="1:1" x14ac:dyDescent="0.25">
      <c r="A6407">
        <v>167</v>
      </c>
    </row>
    <row r="6408" spans="1:1" x14ac:dyDescent="0.25">
      <c r="A6408">
        <v>181</v>
      </c>
    </row>
    <row r="6409" spans="1:1" x14ac:dyDescent="0.25">
      <c r="A6409">
        <v>6</v>
      </c>
    </row>
    <row r="6410" spans="1:1" x14ac:dyDescent="0.25">
      <c r="A6410">
        <v>677</v>
      </c>
    </row>
    <row r="6411" spans="1:1" x14ac:dyDescent="0.25">
      <c r="A6411" t="s">
        <v>1760</v>
      </c>
    </row>
    <row r="6412" spans="1:1" x14ac:dyDescent="0.25">
      <c r="A6412" t="s">
        <v>1761</v>
      </c>
    </row>
    <row r="6413" spans="1:1" x14ac:dyDescent="0.25">
      <c r="A6413" t="s">
        <v>910</v>
      </c>
    </row>
    <row r="6414" spans="1:1" x14ac:dyDescent="0.25">
      <c r="A6414">
        <v>1259</v>
      </c>
    </row>
    <row r="6415" spans="1:1" x14ac:dyDescent="0.25">
      <c r="A6415">
        <v>120</v>
      </c>
    </row>
    <row r="6416" spans="1:1" x14ac:dyDescent="0.25">
      <c r="A6416">
        <v>114</v>
      </c>
    </row>
    <row r="6417" spans="1:1" x14ac:dyDescent="0.25">
      <c r="A6417">
        <v>158</v>
      </c>
    </row>
    <row r="6418" spans="1:1" x14ac:dyDescent="0.25">
      <c r="A6418">
        <v>6</v>
      </c>
    </row>
    <row r="6419" spans="1:1" x14ac:dyDescent="0.25">
      <c r="A6419">
        <v>678</v>
      </c>
    </row>
    <row r="6420" spans="1:1" x14ac:dyDescent="0.25">
      <c r="A6420" t="s">
        <v>1762</v>
      </c>
    </row>
    <row r="6421" spans="1:1" x14ac:dyDescent="0.25">
      <c r="A6421" t="s">
        <v>1763</v>
      </c>
    </row>
    <row r="6422" spans="1:1" x14ac:dyDescent="0.25">
      <c r="A6422" t="s">
        <v>910</v>
      </c>
    </row>
    <row r="6423" spans="1:1" x14ac:dyDescent="0.25">
      <c r="A6423">
        <v>2124</v>
      </c>
    </row>
    <row r="6424" spans="1:1" x14ac:dyDescent="0.25">
      <c r="A6424">
        <v>166</v>
      </c>
    </row>
    <row r="6425" spans="1:1" x14ac:dyDescent="0.25">
      <c r="A6425">
        <v>167</v>
      </c>
    </row>
    <row r="6426" spans="1:1" x14ac:dyDescent="0.25">
      <c r="A6426">
        <v>179</v>
      </c>
    </row>
    <row r="6427" spans="1:1" x14ac:dyDescent="0.25">
      <c r="A6427">
        <v>6</v>
      </c>
    </row>
    <row r="6428" spans="1:1" x14ac:dyDescent="0.25">
      <c r="A6428">
        <v>679</v>
      </c>
    </row>
    <row r="6429" spans="1:1" x14ac:dyDescent="0.25">
      <c r="A6429" t="s">
        <v>1764</v>
      </c>
    </row>
    <row r="6430" spans="1:1" x14ac:dyDescent="0.25">
      <c r="A6430" t="s">
        <v>1765</v>
      </c>
    </row>
    <row r="6431" spans="1:1" x14ac:dyDescent="0.25">
      <c r="A6431" t="s">
        <v>1766</v>
      </c>
    </row>
    <row r="6432" spans="1:1" x14ac:dyDescent="0.25">
      <c r="A6432">
        <v>1390</v>
      </c>
    </row>
    <row r="6433" spans="1:1" x14ac:dyDescent="0.25">
      <c r="A6433">
        <v>135</v>
      </c>
    </row>
    <row r="6434" spans="1:1" x14ac:dyDescent="0.25">
      <c r="A6434">
        <v>139</v>
      </c>
    </row>
    <row r="6435" spans="1:1" x14ac:dyDescent="0.25">
      <c r="A6435">
        <v>128</v>
      </c>
    </row>
    <row r="6436" spans="1:1" x14ac:dyDescent="0.25">
      <c r="A6436">
        <v>6</v>
      </c>
    </row>
    <row r="6437" spans="1:1" x14ac:dyDescent="0.25">
      <c r="A6437">
        <v>680</v>
      </c>
    </row>
    <row r="6438" spans="1:1" x14ac:dyDescent="0.25">
      <c r="A6438" t="s">
        <v>1767</v>
      </c>
    </row>
    <row r="6439" spans="1:1" x14ac:dyDescent="0.25">
      <c r="A6439" t="s">
        <v>1768</v>
      </c>
    </row>
    <row r="6440" spans="1:1" x14ac:dyDescent="0.25">
      <c r="A6440" t="s">
        <v>1766</v>
      </c>
    </row>
    <row r="6441" spans="1:1" x14ac:dyDescent="0.25">
      <c r="A6441">
        <v>2443</v>
      </c>
    </row>
    <row r="6442" spans="1:1" x14ac:dyDescent="0.25">
      <c r="A6442">
        <v>188</v>
      </c>
    </row>
    <row r="6443" spans="1:1" x14ac:dyDescent="0.25">
      <c r="A6443">
        <v>206</v>
      </c>
    </row>
    <row r="6444" spans="1:1" x14ac:dyDescent="0.25">
      <c r="A6444">
        <v>153</v>
      </c>
    </row>
    <row r="6445" spans="1:1" x14ac:dyDescent="0.25">
      <c r="A6445">
        <v>6</v>
      </c>
    </row>
    <row r="6446" spans="1:1" x14ac:dyDescent="0.25">
      <c r="A6446">
        <v>681</v>
      </c>
    </row>
    <row r="6447" spans="1:1" x14ac:dyDescent="0.25">
      <c r="A6447" t="s">
        <v>1769</v>
      </c>
    </row>
    <row r="6448" spans="1:1" x14ac:dyDescent="0.25">
      <c r="A6448" t="s">
        <v>1770</v>
      </c>
    </row>
    <row r="6449" spans="1:1" x14ac:dyDescent="0.25">
      <c r="A6449" t="s">
        <v>1766</v>
      </c>
    </row>
    <row r="6450" spans="1:1" x14ac:dyDescent="0.25">
      <c r="A6450">
        <v>1595</v>
      </c>
    </row>
    <row r="6451" spans="1:1" x14ac:dyDescent="0.25">
      <c r="A6451">
        <v>97</v>
      </c>
    </row>
    <row r="6452" spans="1:1" x14ac:dyDescent="0.25">
      <c r="A6452">
        <v>291</v>
      </c>
    </row>
    <row r="6453" spans="1:1" x14ac:dyDescent="0.25">
      <c r="A6453">
        <v>155</v>
      </c>
    </row>
    <row r="6454" spans="1:1" x14ac:dyDescent="0.25">
      <c r="A6454">
        <v>6</v>
      </c>
    </row>
    <row r="6455" spans="1:1" x14ac:dyDescent="0.25">
      <c r="A6455">
        <v>682</v>
      </c>
    </row>
    <row r="6456" spans="1:1" x14ac:dyDescent="0.25">
      <c r="A6456" t="s">
        <v>1771</v>
      </c>
    </row>
    <row r="6457" spans="1:1" x14ac:dyDescent="0.25">
      <c r="A6457" t="s">
        <v>1772</v>
      </c>
    </row>
    <row r="6458" spans="1:1" x14ac:dyDescent="0.25">
      <c r="A6458" t="s">
        <v>860</v>
      </c>
    </row>
    <row r="6459" spans="1:1" x14ac:dyDescent="0.25">
      <c r="A6459">
        <v>1252</v>
      </c>
    </row>
    <row r="6460" spans="1:1" x14ac:dyDescent="0.25">
      <c r="A6460">
        <v>110</v>
      </c>
    </row>
    <row r="6461" spans="1:1" x14ac:dyDescent="0.25">
      <c r="A6461">
        <v>113</v>
      </c>
    </row>
    <row r="6462" spans="1:1" x14ac:dyDescent="0.25">
      <c r="A6462">
        <v>186</v>
      </c>
    </row>
    <row r="6463" spans="1:1" x14ac:dyDescent="0.25">
      <c r="A6463">
        <v>6</v>
      </c>
    </row>
    <row r="6464" spans="1:1" x14ac:dyDescent="0.25">
      <c r="A6464">
        <v>683</v>
      </c>
    </row>
    <row r="6465" spans="1:1" x14ac:dyDescent="0.25">
      <c r="A6465" t="s">
        <v>1773</v>
      </c>
    </row>
    <row r="6466" spans="1:1" x14ac:dyDescent="0.25">
      <c r="A6466" t="s">
        <v>1774</v>
      </c>
    </row>
    <row r="6467" spans="1:1" x14ac:dyDescent="0.25">
      <c r="A6467" t="s">
        <v>860</v>
      </c>
    </row>
    <row r="6468" spans="1:1" x14ac:dyDescent="0.25">
      <c r="A6468">
        <v>2341</v>
      </c>
    </row>
    <row r="6469" spans="1:1" x14ac:dyDescent="0.25">
      <c r="A6469">
        <v>173</v>
      </c>
    </row>
    <row r="6470" spans="1:1" x14ac:dyDescent="0.25">
      <c r="A6470">
        <v>150</v>
      </c>
    </row>
    <row r="6471" spans="1:1" x14ac:dyDescent="0.25">
      <c r="A6471">
        <v>226</v>
      </c>
    </row>
    <row r="6472" spans="1:1" x14ac:dyDescent="0.25">
      <c r="A6472">
        <v>6</v>
      </c>
    </row>
    <row r="6473" spans="1:1" x14ac:dyDescent="0.25">
      <c r="A6473">
        <v>684</v>
      </c>
    </row>
    <row r="6474" spans="1:1" x14ac:dyDescent="0.25">
      <c r="A6474" t="s">
        <v>1775</v>
      </c>
    </row>
    <row r="6475" spans="1:1" x14ac:dyDescent="0.25">
      <c r="A6475" t="s">
        <v>1776</v>
      </c>
    </row>
    <row r="6476" spans="1:1" x14ac:dyDescent="0.25">
      <c r="A6476" t="s">
        <v>860</v>
      </c>
    </row>
    <row r="6477" spans="1:1" x14ac:dyDescent="0.25">
      <c r="A6477">
        <v>1179</v>
      </c>
    </row>
    <row r="6478" spans="1:1" x14ac:dyDescent="0.25">
      <c r="A6478">
        <v>109</v>
      </c>
    </row>
    <row r="6479" spans="1:1" x14ac:dyDescent="0.25">
      <c r="A6479">
        <v>119</v>
      </c>
    </row>
    <row r="6480" spans="1:1" x14ac:dyDescent="0.25">
      <c r="A6480">
        <v>158</v>
      </c>
    </row>
    <row r="6481" spans="1:1" x14ac:dyDescent="0.25">
      <c r="A6481">
        <v>6</v>
      </c>
    </row>
    <row r="6482" spans="1:1" x14ac:dyDescent="0.25">
      <c r="A6482">
        <v>685</v>
      </c>
    </row>
    <row r="6483" spans="1:1" x14ac:dyDescent="0.25">
      <c r="A6483" t="s">
        <v>1777</v>
      </c>
    </row>
    <row r="6484" spans="1:1" x14ac:dyDescent="0.25">
      <c r="A6484" t="s">
        <v>1778</v>
      </c>
    </row>
    <row r="6485" spans="1:1" x14ac:dyDescent="0.25">
      <c r="A6485" t="s">
        <v>860</v>
      </c>
    </row>
    <row r="6486" spans="1:1" x14ac:dyDescent="0.25">
      <c r="A6486">
        <v>2199</v>
      </c>
    </row>
    <row r="6487" spans="1:1" x14ac:dyDescent="0.25">
      <c r="A6487">
        <v>168</v>
      </c>
    </row>
    <row r="6488" spans="1:1" x14ac:dyDescent="0.25">
      <c r="A6488">
        <v>163</v>
      </c>
    </row>
    <row r="6489" spans="1:1" x14ac:dyDescent="0.25">
      <c r="A6489">
        <v>193</v>
      </c>
    </row>
    <row r="6490" spans="1:1" x14ac:dyDescent="0.25">
      <c r="A6490">
        <v>6</v>
      </c>
    </row>
    <row r="6491" spans="1:1" x14ac:dyDescent="0.25">
      <c r="A6491">
        <v>686</v>
      </c>
    </row>
    <row r="6492" spans="1:1" x14ac:dyDescent="0.25">
      <c r="A6492" t="s">
        <v>1779</v>
      </c>
    </row>
    <row r="6493" spans="1:1" x14ac:dyDescent="0.25">
      <c r="A6493" t="s">
        <v>1780</v>
      </c>
    </row>
    <row r="6494" spans="1:1" x14ac:dyDescent="0.25">
      <c r="A6494" t="s">
        <v>1781</v>
      </c>
    </row>
    <row r="6495" spans="1:1" x14ac:dyDescent="0.25">
      <c r="A6495">
        <v>927</v>
      </c>
    </row>
    <row r="6496" spans="1:1" x14ac:dyDescent="0.25">
      <c r="A6496">
        <v>98</v>
      </c>
    </row>
    <row r="6497" spans="1:1" x14ac:dyDescent="0.25">
      <c r="A6497">
        <v>95</v>
      </c>
    </row>
    <row r="6498" spans="1:1" x14ac:dyDescent="0.25">
      <c r="A6498">
        <v>142</v>
      </c>
    </row>
    <row r="6499" spans="1:1" x14ac:dyDescent="0.25">
      <c r="A6499">
        <v>6</v>
      </c>
    </row>
    <row r="6500" spans="1:1" x14ac:dyDescent="0.25">
      <c r="A6500">
        <v>687</v>
      </c>
    </row>
    <row r="6501" spans="1:1" x14ac:dyDescent="0.25">
      <c r="A6501" t="s">
        <v>1782</v>
      </c>
    </row>
    <row r="6502" spans="1:1" x14ac:dyDescent="0.25">
      <c r="A6502" t="s">
        <v>1783</v>
      </c>
    </row>
    <row r="6503" spans="1:1" x14ac:dyDescent="0.25">
      <c r="A6503" t="s">
        <v>1781</v>
      </c>
    </row>
    <row r="6504" spans="1:1" x14ac:dyDescent="0.25">
      <c r="A6504">
        <v>2359</v>
      </c>
    </row>
    <row r="6505" spans="1:1" x14ac:dyDescent="0.25">
      <c r="A6505">
        <v>177</v>
      </c>
    </row>
    <row r="6506" spans="1:1" x14ac:dyDescent="0.25">
      <c r="A6506">
        <v>165</v>
      </c>
    </row>
    <row r="6507" spans="1:1" x14ac:dyDescent="0.25">
      <c r="A6507">
        <v>200</v>
      </c>
    </row>
    <row r="6508" spans="1:1" x14ac:dyDescent="0.25">
      <c r="A6508">
        <v>6</v>
      </c>
    </row>
    <row r="6509" spans="1:1" x14ac:dyDescent="0.25">
      <c r="A6509">
        <v>688</v>
      </c>
    </row>
    <row r="6510" spans="1:1" x14ac:dyDescent="0.25">
      <c r="A6510" t="s">
        <v>1784</v>
      </c>
    </row>
    <row r="6511" spans="1:1" x14ac:dyDescent="0.25">
      <c r="A6511" t="s">
        <v>1785</v>
      </c>
    </row>
    <row r="6512" spans="1:1" x14ac:dyDescent="0.25">
      <c r="A6512" t="s">
        <v>1017</v>
      </c>
    </row>
    <row r="6513" spans="1:1" x14ac:dyDescent="0.25">
      <c r="A6513">
        <v>946</v>
      </c>
    </row>
    <row r="6514" spans="1:1" x14ac:dyDescent="0.25">
      <c r="A6514">
        <v>96</v>
      </c>
    </row>
    <row r="6515" spans="1:1" x14ac:dyDescent="0.25">
      <c r="A6515">
        <v>120</v>
      </c>
    </row>
    <row r="6516" spans="1:1" x14ac:dyDescent="0.25">
      <c r="A6516">
        <v>123</v>
      </c>
    </row>
    <row r="6517" spans="1:1" x14ac:dyDescent="0.25">
      <c r="A6517">
        <v>6</v>
      </c>
    </row>
    <row r="6518" spans="1:1" x14ac:dyDescent="0.25">
      <c r="A6518">
        <v>689</v>
      </c>
    </row>
    <row r="6519" spans="1:1" x14ac:dyDescent="0.25">
      <c r="A6519" t="s">
        <v>1786</v>
      </c>
    </row>
    <row r="6520" spans="1:1" x14ac:dyDescent="0.25">
      <c r="A6520" t="s">
        <v>1787</v>
      </c>
    </row>
    <row r="6521" spans="1:1" x14ac:dyDescent="0.25">
      <c r="A6521" t="s">
        <v>1017</v>
      </c>
    </row>
    <row r="6522" spans="1:1" x14ac:dyDescent="0.25">
      <c r="A6522">
        <v>2675</v>
      </c>
    </row>
    <row r="6523" spans="1:1" x14ac:dyDescent="0.25">
      <c r="A6523">
        <v>194</v>
      </c>
    </row>
    <row r="6524" spans="1:1" x14ac:dyDescent="0.25">
      <c r="A6524">
        <v>205</v>
      </c>
    </row>
    <row r="6525" spans="1:1" x14ac:dyDescent="0.25">
      <c r="A6525">
        <v>176</v>
      </c>
    </row>
    <row r="6526" spans="1:1" x14ac:dyDescent="0.25">
      <c r="A6526">
        <v>6</v>
      </c>
    </row>
    <row r="6527" spans="1:1" x14ac:dyDescent="0.25">
      <c r="A6527">
        <v>690</v>
      </c>
    </row>
    <row r="6528" spans="1:1" x14ac:dyDescent="0.25">
      <c r="A6528" t="s">
        <v>1788</v>
      </c>
    </row>
    <row r="6529" spans="1:1" x14ac:dyDescent="0.25">
      <c r="A6529" t="s">
        <v>1789</v>
      </c>
    </row>
    <row r="6530" spans="1:1" x14ac:dyDescent="0.25">
      <c r="A6530" t="s">
        <v>1790</v>
      </c>
    </row>
    <row r="6531" spans="1:1" x14ac:dyDescent="0.25">
      <c r="A6531">
        <v>1063</v>
      </c>
    </row>
    <row r="6532" spans="1:1" x14ac:dyDescent="0.25">
      <c r="A6532">
        <v>109</v>
      </c>
    </row>
    <row r="6533" spans="1:1" x14ac:dyDescent="0.25">
      <c r="A6533">
        <v>109</v>
      </c>
    </row>
    <row r="6534" spans="1:1" x14ac:dyDescent="0.25">
      <c r="A6534">
        <v>137</v>
      </c>
    </row>
    <row r="6535" spans="1:1" x14ac:dyDescent="0.25">
      <c r="A6535">
        <v>6</v>
      </c>
    </row>
    <row r="6536" spans="1:1" x14ac:dyDescent="0.25">
      <c r="A6536">
        <v>691</v>
      </c>
    </row>
    <row r="6537" spans="1:1" x14ac:dyDescent="0.25">
      <c r="A6537" t="s">
        <v>1791</v>
      </c>
    </row>
    <row r="6538" spans="1:1" x14ac:dyDescent="0.25">
      <c r="A6538" t="s">
        <v>1792</v>
      </c>
    </row>
    <row r="6539" spans="1:1" x14ac:dyDescent="0.25">
      <c r="A6539" t="s">
        <v>1793</v>
      </c>
    </row>
    <row r="6540" spans="1:1" x14ac:dyDescent="0.25">
      <c r="A6540">
        <v>2383</v>
      </c>
    </row>
    <row r="6541" spans="1:1" x14ac:dyDescent="0.25">
      <c r="A6541">
        <v>177</v>
      </c>
    </row>
    <row r="6542" spans="1:1" x14ac:dyDescent="0.25">
      <c r="A6542">
        <v>207</v>
      </c>
    </row>
    <row r="6543" spans="1:1" x14ac:dyDescent="0.25">
      <c r="A6543">
        <v>163</v>
      </c>
    </row>
    <row r="6544" spans="1:1" x14ac:dyDescent="0.25">
      <c r="A6544">
        <v>6</v>
      </c>
    </row>
    <row r="6545" spans="1:1" x14ac:dyDescent="0.25">
      <c r="A6545">
        <v>692</v>
      </c>
    </row>
    <row r="6546" spans="1:1" x14ac:dyDescent="0.25">
      <c r="A6546" t="s">
        <v>1794</v>
      </c>
    </row>
    <row r="6547" spans="1:1" x14ac:dyDescent="0.25">
      <c r="A6547" t="s">
        <v>1795</v>
      </c>
    </row>
    <row r="6548" spans="1:1" x14ac:dyDescent="0.25">
      <c r="A6548" t="s">
        <v>809</v>
      </c>
    </row>
    <row r="6549" spans="1:1" x14ac:dyDescent="0.25">
      <c r="A6549">
        <v>1088</v>
      </c>
    </row>
    <row r="6550" spans="1:1" x14ac:dyDescent="0.25">
      <c r="A6550">
        <v>108</v>
      </c>
    </row>
    <row r="6551" spans="1:1" x14ac:dyDescent="0.25">
      <c r="A6551">
        <v>117</v>
      </c>
    </row>
    <row r="6552" spans="1:1" x14ac:dyDescent="0.25">
      <c r="A6552">
        <v>137</v>
      </c>
    </row>
    <row r="6553" spans="1:1" x14ac:dyDescent="0.25">
      <c r="A6553">
        <v>6</v>
      </c>
    </row>
    <row r="6554" spans="1:1" x14ac:dyDescent="0.25">
      <c r="A6554">
        <v>693</v>
      </c>
    </row>
    <row r="6555" spans="1:1" x14ac:dyDescent="0.25">
      <c r="A6555" t="s">
        <v>1796</v>
      </c>
    </row>
    <row r="6556" spans="1:1" x14ac:dyDescent="0.25">
      <c r="A6556" t="s">
        <v>1797</v>
      </c>
    </row>
    <row r="6557" spans="1:1" x14ac:dyDescent="0.25">
      <c r="A6557" t="s">
        <v>809</v>
      </c>
    </row>
    <row r="6558" spans="1:1" x14ac:dyDescent="0.25">
      <c r="A6558">
        <v>2763</v>
      </c>
    </row>
    <row r="6559" spans="1:1" x14ac:dyDescent="0.25">
      <c r="A6559">
        <v>221</v>
      </c>
    </row>
    <row r="6560" spans="1:1" x14ac:dyDescent="0.25">
      <c r="A6560">
        <v>171</v>
      </c>
    </row>
    <row r="6561" spans="1:1" x14ac:dyDescent="0.25">
      <c r="A6561">
        <v>174</v>
      </c>
    </row>
    <row r="6562" spans="1:1" x14ac:dyDescent="0.25">
      <c r="A6562">
        <v>6</v>
      </c>
    </row>
    <row r="6563" spans="1:1" x14ac:dyDescent="0.25">
      <c r="A6563">
        <v>694</v>
      </c>
    </row>
    <row r="6564" spans="1:1" x14ac:dyDescent="0.25">
      <c r="A6564" t="s">
        <v>1798</v>
      </c>
    </row>
    <row r="6565" spans="1:1" x14ac:dyDescent="0.25">
      <c r="A6565" t="s">
        <v>1799</v>
      </c>
    </row>
    <row r="6566" spans="1:1" x14ac:dyDescent="0.25">
      <c r="A6566" t="s">
        <v>1800</v>
      </c>
    </row>
    <row r="6567" spans="1:1" x14ac:dyDescent="0.25">
      <c r="A6567">
        <v>933</v>
      </c>
    </row>
    <row r="6568" spans="1:1" x14ac:dyDescent="0.25">
      <c r="A6568">
        <v>115</v>
      </c>
    </row>
    <row r="6569" spans="1:1" x14ac:dyDescent="0.25">
      <c r="A6569">
        <v>78</v>
      </c>
    </row>
    <row r="6570" spans="1:1" x14ac:dyDescent="0.25">
      <c r="A6570">
        <v>127</v>
      </c>
    </row>
    <row r="6571" spans="1:1" x14ac:dyDescent="0.25">
      <c r="A6571">
        <v>6</v>
      </c>
    </row>
    <row r="6572" spans="1:1" x14ac:dyDescent="0.25">
      <c r="A6572">
        <v>695</v>
      </c>
    </row>
    <row r="6573" spans="1:1" x14ac:dyDescent="0.25">
      <c r="A6573" t="s">
        <v>1801</v>
      </c>
    </row>
    <row r="6574" spans="1:1" x14ac:dyDescent="0.25">
      <c r="A6574" t="s">
        <v>1802</v>
      </c>
    </row>
    <row r="6575" spans="1:1" x14ac:dyDescent="0.25">
      <c r="A6575" t="s">
        <v>1800</v>
      </c>
    </row>
    <row r="6576" spans="1:1" x14ac:dyDescent="0.25">
      <c r="A6576">
        <v>2600</v>
      </c>
    </row>
    <row r="6577" spans="1:1" x14ac:dyDescent="0.25">
      <c r="A6577">
        <v>219</v>
      </c>
    </row>
    <row r="6578" spans="1:1" x14ac:dyDescent="0.25">
      <c r="A6578">
        <v>168</v>
      </c>
    </row>
    <row r="6579" spans="1:1" x14ac:dyDescent="0.25">
      <c r="A6579">
        <v>158</v>
      </c>
    </row>
    <row r="6580" spans="1:1" x14ac:dyDescent="0.25">
      <c r="A6580">
        <v>6</v>
      </c>
    </row>
    <row r="6581" spans="1:1" x14ac:dyDescent="0.25">
      <c r="A6581">
        <v>696</v>
      </c>
    </row>
    <row r="6582" spans="1:1" x14ac:dyDescent="0.25">
      <c r="A6582" t="s">
        <v>1803</v>
      </c>
    </row>
    <row r="6583" spans="1:1" x14ac:dyDescent="0.25">
      <c r="A6583" t="s">
        <v>1804</v>
      </c>
    </row>
    <row r="6584" spans="1:1" x14ac:dyDescent="0.25">
      <c r="A6584" t="s">
        <v>1805</v>
      </c>
    </row>
    <row r="6585" spans="1:1" x14ac:dyDescent="0.25">
      <c r="A6585">
        <v>1635</v>
      </c>
    </row>
    <row r="6586" spans="1:1" x14ac:dyDescent="0.25">
      <c r="A6586">
        <v>158</v>
      </c>
    </row>
    <row r="6587" spans="1:1" x14ac:dyDescent="0.25">
      <c r="A6587">
        <v>123</v>
      </c>
    </row>
    <row r="6588" spans="1:1" x14ac:dyDescent="0.25">
      <c r="A6588">
        <v>151</v>
      </c>
    </row>
    <row r="6589" spans="1:1" x14ac:dyDescent="0.25">
      <c r="A6589">
        <v>6</v>
      </c>
    </row>
    <row r="6590" spans="1:1" x14ac:dyDescent="0.25">
      <c r="A6590">
        <v>697</v>
      </c>
    </row>
    <row r="6591" spans="1:1" x14ac:dyDescent="0.25">
      <c r="A6591" t="s">
        <v>1806</v>
      </c>
    </row>
    <row r="6592" spans="1:1" x14ac:dyDescent="0.25">
      <c r="A6592" t="s">
        <v>1807</v>
      </c>
    </row>
    <row r="6593" spans="1:1" x14ac:dyDescent="0.25">
      <c r="A6593" t="s">
        <v>1805</v>
      </c>
    </row>
    <row r="6594" spans="1:1" x14ac:dyDescent="0.25">
      <c r="A6594">
        <v>3128</v>
      </c>
    </row>
    <row r="6595" spans="1:1" x14ac:dyDescent="0.25">
      <c r="A6595">
        <v>227</v>
      </c>
    </row>
    <row r="6596" spans="1:1" x14ac:dyDescent="0.25">
      <c r="A6596">
        <v>191</v>
      </c>
    </row>
    <row r="6597" spans="1:1" x14ac:dyDescent="0.25">
      <c r="A6597">
        <v>193</v>
      </c>
    </row>
    <row r="6598" spans="1:1" x14ac:dyDescent="0.25">
      <c r="A6598">
        <v>6</v>
      </c>
    </row>
    <row r="6599" spans="1:1" x14ac:dyDescent="0.25">
      <c r="A6599">
        <v>698</v>
      </c>
    </row>
    <row r="6600" spans="1:1" x14ac:dyDescent="0.25">
      <c r="A6600" t="s">
        <v>1808</v>
      </c>
    </row>
    <row r="6601" spans="1:1" x14ac:dyDescent="0.25">
      <c r="A6601" t="s">
        <v>1809</v>
      </c>
    </row>
    <row r="6602" spans="1:1" x14ac:dyDescent="0.25">
      <c r="A6602" t="s">
        <v>1810</v>
      </c>
    </row>
    <row r="6603" spans="1:1" x14ac:dyDescent="0.25">
      <c r="A6603">
        <v>1363</v>
      </c>
    </row>
    <row r="6604" spans="1:1" x14ac:dyDescent="0.25">
      <c r="A6604">
        <v>124</v>
      </c>
    </row>
    <row r="6605" spans="1:1" x14ac:dyDescent="0.25">
      <c r="A6605">
        <v>109</v>
      </c>
    </row>
    <row r="6606" spans="1:1" x14ac:dyDescent="0.25">
      <c r="A6606">
        <v>184</v>
      </c>
    </row>
    <row r="6607" spans="1:1" x14ac:dyDescent="0.25">
      <c r="A6607">
        <v>6</v>
      </c>
    </row>
    <row r="6608" spans="1:1" x14ac:dyDescent="0.25">
      <c r="A6608">
        <v>699</v>
      </c>
    </row>
    <row r="6609" spans="1:1" x14ac:dyDescent="0.25">
      <c r="A6609" t="s">
        <v>1811</v>
      </c>
    </row>
    <row r="6610" spans="1:1" x14ac:dyDescent="0.25">
      <c r="A6610" t="s">
        <v>1812</v>
      </c>
    </row>
    <row r="6611" spans="1:1" x14ac:dyDescent="0.25">
      <c r="A6611" t="s">
        <v>1810</v>
      </c>
    </row>
    <row r="6612" spans="1:1" x14ac:dyDescent="0.25">
      <c r="A6612">
        <v>2802</v>
      </c>
    </row>
    <row r="6613" spans="1:1" x14ac:dyDescent="0.25">
      <c r="A6613">
        <v>186</v>
      </c>
    </row>
    <row r="6614" spans="1:1" x14ac:dyDescent="0.25">
      <c r="A6614">
        <v>163</v>
      </c>
    </row>
    <row r="6615" spans="1:1" x14ac:dyDescent="0.25">
      <c r="A6615">
        <v>265</v>
      </c>
    </row>
    <row r="6616" spans="1:1" x14ac:dyDescent="0.25">
      <c r="A6616">
        <v>6</v>
      </c>
    </row>
    <row r="6617" spans="1:1" x14ac:dyDescent="0.25">
      <c r="A6617">
        <v>700</v>
      </c>
    </row>
    <row r="6618" spans="1:1" x14ac:dyDescent="0.25">
      <c r="A6618" t="s">
        <v>1813</v>
      </c>
    </row>
    <row r="6619" spans="1:1" x14ac:dyDescent="0.25">
      <c r="A6619" t="s">
        <v>1814</v>
      </c>
    </row>
    <row r="6620" spans="1:1" x14ac:dyDescent="0.25">
      <c r="A6620" t="s">
        <v>860</v>
      </c>
    </row>
    <row r="6621" spans="1:1" x14ac:dyDescent="0.25">
      <c r="A6621">
        <v>3069</v>
      </c>
    </row>
    <row r="6622" spans="1:1" x14ac:dyDescent="0.25">
      <c r="A6622">
        <v>203</v>
      </c>
    </row>
    <row r="6623" spans="1:1" x14ac:dyDescent="0.25">
      <c r="A6623">
        <v>205</v>
      </c>
    </row>
    <row r="6624" spans="1:1" x14ac:dyDescent="0.25">
      <c r="A6624">
        <v>216</v>
      </c>
    </row>
    <row r="6625" spans="1:1" x14ac:dyDescent="0.25">
      <c r="A6625">
        <v>6</v>
      </c>
    </row>
    <row r="6626" spans="1:1" x14ac:dyDescent="0.25">
      <c r="A6626">
        <v>701</v>
      </c>
    </row>
    <row r="6627" spans="1:1" x14ac:dyDescent="0.25">
      <c r="A6627" t="s">
        <v>1815</v>
      </c>
    </row>
    <row r="6628" spans="1:1" x14ac:dyDescent="0.25">
      <c r="A6628" t="s">
        <v>1816</v>
      </c>
    </row>
    <row r="6629" spans="1:1" x14ac:dyDescent="0.25">
      <c r="A6629" t="s">
        <v>1817</v>
      </c>
    </row>
    <row r="6630" spans="1:1" x14ac:dyDescent="0.25">
      <c r="A6630">
        <v>2410</v>
      </c>
    </row>
    <row r="6631" spans="1:1" x14ac:dyDescent="0.25">
      <c r="A6631">
        <v>195</v>
      </c>
    </row>
    <row r="6632" spans="1:1" x14ac:dyDescent="0.25">
      <c r="A6632">
        <v>153</v>
      </c>
    </row>
    <row r="6633" spans="1:1" x14ac:dyDescent="0.25">
      <c r="A6633">
        <v>186</v>
      </c>
    </row>
    <row r="6634" spans="1:1" x14ac:dyDescent="0.25">
      <c r="A6634">
        <v>6</v>
      </c>
    </row>
    <row r="6635" spans="1:1" x14ac:dyDescent="0.25">
      <c r="A6635">
        <v>702</v>
      </c>
    </row>
    <row r="6636" spans="1:1" x14ac:dyDescent="0.25">
      <c r="A6636" t="s">
        <v>1818</v>
      </c>
    </row>
    <row r="6637" spans="1:1" x14ac:dyDescent="0.25">
      <c r="A6637" t="s">
        <v>1819</v>
      </c>
    </row>
    <row r="6638" spans="1:1" x14ac:dyDescent="0.25">
      <c r="A6638" t="s">
        <v>1820</v>
      </c>
    </row>
    <row r="6639" spans="1:1" x14ac:dyDescent="0.25">
      <c r="A6639">
        <v>1841</v>
      </c>
    </row>
    <row r="6640" spans="1:1" x14ac:dyDescent="0.25">
      <c r="A6640">
        <v>164</v>
      </c>
    </row>
    <row r="6641" spans="1:1" x14ac:dyDescent="0.25">
      <c r="A6641">
        <v>134</v>
      </c>
    </row>
    <row r="6642" spans="1:1" x14ac:dyDescent="0.25">
      <c r="A6642">
        <v>167</v>
      </c>
    </row>
    <row r="6643" spans="1:1" x14ac:dyDescent="0.25">
      <c r="A6643">
        <v>6</v>
      </c>
    </row>
    <row r="6644" spans="1:1" x14ac:dyDescent="0.25">
      <c r="A6644">
        <v>703</v>
      </c>
    </row>
    <row r="6645" spans="1:1" x14ac:dyDescent="0.25">
      <c r="A6645" t="s">
        <v>1821</v>
      </c>
    </row>
    <row r="6646" spans="1:1" x14ac:dyDescent="0.25">
      <c r="A6646" t="s">
        <v>1822</v>
      </c>
    </row>
    <row r="6647" spans="1:1" x14ac:dyDescent="0.25">
      <c r="A6647" t="s">
        <v>1823</v>
      </c>
    </row>
    <row r="6648" spans="1:1" x14ac:dyDescent="0.25">
      <c r="A6648">
        <v>1467</v>
      </c>
    </row>
    <row r="6649" spans="1:1" x14ac:dyDescent="0.25">
      <c r="A6649">
        <v>95</v>
      </c>
    </row>
    <row r="6650" spans="1:1" x14ac:dyDescent="0.25">
      <c r="A6650">
        <v>285</v>
      </c>
    </row>
    <row r="6651" spans="1:1" x14ac:dyDescent="0.25">
      <c r="A6651">
        <v>137</v>
      </c>
    </row>
    <row r="6652" spans="1:1" x14ac:dyDescent="0.25">
      <c r="A6652">
        <v>6</v>
      </c>
    </row>
    <row r="6653" spans="1:1" x14ac:dyDescent="0.25">
      <c r="A6653">
        <v>704</v>
      </c>
    </row>
    <row r="6654" spans="1:1" x14ac:dyDescent="0.25">
      <c r="A6654" t="s">
        <v>1824</v>
      </c>
    </row>
    <row r="6655" spans="1:1" x14ac:dyDescent="0.25">
      <c r="A6655" t="s">
        <v>1825</v>
      </c>
    </row>
    <row r="6656" spans="1:1" x14ac:dyDescent="0.25">
      <c r="A6656" t="s">
        <v>1030</v>
      </c>
    </row>
    <row r="6657" spans="1:1" x14ac:dyDescent="0.25">
      <c r="A6657">
        <v>976</v>
      </c>
    </row>
    <row r="6658" spans="1:1" x14ac:dyDescent="0.25">
      <c r="A6658">
        <v>101</v>
      </c>
    </row>
    <row r="6659" spans="1:1" x14ac:dyDescent="0.25">
      <c r="A6659">
        <v>112</v>
      </c>
    </row>
    <row r="6660" spans="1:1" x14ac:dyDescent="0.25">
      <c r="A6660">
        <v>128</v>
      </c>
    </row>
    <row r="6661" spans="1:1" x14ac:dyDescent="0.25">
      <c r="A6661">
        <v>6</v>
      </c>
    </row>
    <row r="6662" spans="1:1" x14ac:dyDescent="0.25">
      <c r="A6662">
        <v>705</v>
      </c>
    </row>
    <row r="6663" spans="1:1" x14ac:dyDescent="0.25">
      <c r="A6663" t="s">
        <v>1826</v>
      </c>
    </row>
    <row r="6664" spans="1:1" x14ac:dyDescent="0.25">
      <c r="A6664" t="s">
        <v>1827</v>
      </c>
    </row>
    <row r="6665" spans="1:1" x14ac:dyDescent="0.25">
      <c r="A6665" t="s">
        <v>1030</v>
      </c>
    </row>
    <row r="6666" spans="1:1" x14ac:dyDescent="0.25">
      <c r="A6666">
        <v>2037</v>
      </c>
    </row>
    <row r="6667" spans="1:1" x14ac:dyDescent="0.25">
      <c r="A6667">
        <v>159</v>
      </c>
    </row>
    <row r="6668" spans="1:1" x14ac:dyDescent="0.25">
      <c r="A6668">
        <v>176</v>
      </c>
    </row>
    <row r="6669" spans="1:1" x14ac:dyDescent="0.25">
      <c r="A6669">
        <v>169</v>
      </c>
    </row>
    <row r="6670" spans="1:1" x14ac:dyDescent="0.25">
      <c r="A6670">
        <v>6</v>
      </c>
    </row>
    <row r="6671" spans="1:1" x14ac:dyDescent="0.25">
      <c r="A6671">
        <v>706</v>
      </c>
    </row>
    <row r="6672" spans="1:1" x14ac:dyDescent="0.25">
      <c r="A6672" t="s">
        <v>1828</v>
      </c>
    </row>
    <row r="6673" spans="1:1" x14ac:dyDescent="0.25">
      <c r="A6673" t="s">
        <v>1829</v>
      </c>
    </row>
    <row r="6674" spans="1:1" x14ac:dyDescent="0.25">
      <c r="A6674" t="s">
        <v>1030</v>
      </c>
    </row>
    <row r="6675" spans="1:1" x14ac:dyDescent="0.25">
      <c r="A6675">
        <v>3505</v>
      </c>
    </row>
    <row r="6676" spans="1:1" x14ac:dyDescent="0.25">
      <c r="A6676">
        <v>220</v>
      </c>
    </row>
    <row r="6677" spans="1:1" x14ac:dyDescent="0.25">
      <c r="A6677">
        <v>242</v>
      </c>
    </row>
    <row r="6678" spans="1:1" x14ac:dyDescent="0.25">
      <c r="A6678">
        <v>207</v>
      </c>
    </row>
    <row r="6679" spans="1:1" x14ac:dyDescent="0.25">
      <c r="A6679">
        <v>6</v>
      </c>
    </row>
    <row r="6680" spans="1:1" x14ac:dyDescent="0.25">
      <c r="A6680">
        <v>707</v>
      </c>
    </row>
    <row r="6681" spans="1:1" x14ac:dyDescent="0.25">
      <c r="A6681" t="s">
        <v>1830</v>
      </c>
    </row>
    <row r="6682" spans="1:1" x14ac:dyDescent="0.25">
      <c r="A6682" t="s">
        <v>1831</v>
      </c>
    </row>
    <row r="6683" spans="1:1" x14ac:dyDescent="0.25">
      <c r="A6683" t="s">
        <v>1222</v>
      </c>
    </row>
    <row r="6684" spans="1:1" x14ac:dyDescent="0.25">
      <c r="A6684">
        <v>1949</v>
      </c>
    </row>
    <row r="6685" spans="1:1" x14ac:dyDescent="0.25">
      <c r="A6685">
        <v>160</v>
      </c>
    </row>
    <row r="6686" spans="1:1" x14ac:dyDescent="0.25">
      <c r="A6686">
        <v>179</v>
      </c>
    </row>
    <row r="6687" spans="1:1" x14ac:dyDescent="0.25">
      <c r="A6687">
        <v>149</v>
      </c>
    </row>
    <row r="6688" spans="1:1" x14ac:dyDescent="0.25">
      <c r="A6688">
        <v>6</v>
      </c>
    </row>
    <row r="6689" spans="1:1" x14ac:dyDescent="0.25">
      <c r="A6689">
        <v>708</v>
      </c>
    </row>
    <row r="6690" spans="1:1" x14ac:dyDescent="0.25">
      <c r="A6690" t="s">
        <v>1832</v>
      </c>
    </row>
    <row r="6691" spans="1:1" x14ac:dyDescent="0.25">
      <c r="A6691" t="s">
        <v>1833</v>
      </c>
    </row>
    <row r="6692" spans="1:1" x14ac:dyDescent="0.25">
      <c r="A6692" t="s">
        <v>1834</v>
      </c>
    </row>
    <row r="6693" spans="1:1" x14ac:dyDescent="0.25">
      <c r="A6693">
        <v>1123</v>
      </c>
    </row>
    <row r="6694" spans="1:1" x14ac:dyDescent="0.25">
      <c r="A6694">
        <v>125</v>
      </c>
    </row>
    <row r="6695" spans="1:1" x14ac:dyDescent="0.25">
      <c r="A6695">
        <v>103</v>
      </c>
    </row>
    <row r="6696" spans="1:1" x14ac:dyDescent="0.25">
      <c r="A6696">
        <v>125</v>
      </c>
    </row>
    <row r="6697" spans="1:1" x14ac:dyDescent="0.25">
      <c r="A6697">
        <v>6</v>
      </c>
    </row>
    <row r="6698" spans="1:1" x14ac:dyDescent="0.25">
      <c r="A6698">
        <v>709</v>
      </c>
    </row>
    <row r="6699" spans="1:1" x14ac:dyDescent="0.25">
      <c r="A6699" t="s">
        <v>1835</v>
      </c>
    </row>
    <row r="6700" spans="1:1" x14ac:dyDescent="0.25">
      <c r="A6700" t="s">
        <v>1836</v>
      </c>
    </row>
    <row r="6701" spans="1:1" x14ac:dyDescent="0.25">
      <c r="A6701" t="s">
        <v>1834</v>
      </c>
    </row>
    <row r="6702" spans="1:1" x14ac:dyDescent="0.25">
      <c r="A6702">
        <v>2559</v>
      </c>
    </row>
    <row r="6703" spans="1:1" x14ac:dyDescent="0.25">
      <c r="A6703">
        <v>201</v>
      </c>
    </row>
    <row r="6704" spans="1:1" x14ac:dyDescent="0.25">
      <c r="A6704">
        <v>154</v>
      </c>
    </row>
    <row r="6705" spans="1:1" x14ac:dyDescent="0.25">
      <c r="A6705">
        <v>198</v>
      </c>
    </row>
    <row r="6706" spans="1:1" x14ac:dyDescent="0.25">
      <c r="A6706">
        <v>6</v>
      </c>
    </row>
    <row r="6707" spans="1:1" x14ac:dyDescent="0.25">
      <c r="A6707">
        <v>710</v>
      </c>
    </row>
    <row r="6708" spans="1:1" x14ac:dyDescent="0.25">
      <c r="A6708" t="s">
        <v>1837</v>
      </c>
    </row>
    <row r="6709" spans="1:1" x14ac:dyDescent="0.25">
      <c r="A6709" t="s">
        <v>1838</v>
      </c>
    </row>
    <row r="6710" spans="1:1" x14ac:dyDescent="0.25">
      <c r="A6710" t="s">
        <v>1834</v>
      </c>
    </row>
    <row r="6711" spans="1:1" x14ac:dyDescent="0.25">
      <c r="A6711">
        <v>1202</v>
      </c>
    </row>
    <row r="6712" spans="1:1" x14ac:dyDescent="0.25">
      <c r="A6712">
        <v>122</v>
      </c>
    </row>
    <row r="6713" spans="1:1" x14ac:dyDescent="0.25">
      <c r="A6713">
        <v>124</v>
      </c>
    </row>
    <row r="6714" spans="1:1" x14ac:dyDescent="0.25">
      <c r="A6714">
        <v>127</v>
      </c>
    </row>
    <row r="6715" spans="1:1" x14ac:dyDescent="0.25">
      <c r="A6715">
        <v>6</v>
      </c>
    </row>
    <row r="6716" spans="1:1" x14ac:dyDescent="0.25">
      <c r="A6716">
        <v>711</v>
      </c>
    </row>
    <row r="6717" spans="1:1" x14ac:dyDescent="0.25">
      <c r="A6717" t="s">
        <v>1839</v>
      </c>
    </row>
    <row r="6718" spans="1:1" x14ac:dyDescent="0.25">
      <c r="A6718" t="s">
        <v>1840</v>
      </c>
    </row>
    <row r="6719" spans="1:1" x14ac:dyDescent="0.25">
      <c r="A6719" t="s">
        <v>1834</v>
      </c>
    </row>
    <row r="6720" spans="1:1" x14ac:dyDescent="0.25">
      <c r="A6720">
        <v>2254</v>
      </c>
    </row>
    <row r="6721" spans="1:1" x14ac:dyDescent="0.25">
      <c r="A6721">
        <v>171</v>
      </c>
    </row>
    <row r="6722" spans="1:1" x14ac:dyDescent="0.25">
      <c r="A6722">
        <v>219</v>
      </c>
    </row>
    <row r="6723" spans="1:1" x14ac:dyDescent="0.25">
      <c r="A6723">
        <v>146</v>
      </c>
    </row>
    <row r="6724" spans="1:1" x14ac:dyDescent="0.25">
      <c r="A6724">
        <v>6</v>
      </c>
    </row>
    <row r="6725" spans="1:1" x14ac:dyDescent="0.25">
      <c r="A6725">
        <v>712</v>
      </c>
    </row>
    <row r="6726" spans="1:1" x14ac:dyDescent="0.25">
      <c r="A6726" t="s">
        <v>1841</v>
      </c>
    </row>
    <row r="6727" spans="1:1" x14ac:dyDescent="0.25">
      <c r="A6727" t="s">
        <v>1842</v>
      </c>
    </row>
    <row r="6728" spans="1:1" x14ac:dyDescent="0.25">
      <c r="A6728" t="s">
        <v>865</v>
      </c>
    </row>
    <row r="6729" spans="1:1" x14ac:dyDescent="0.25">
      <c r="A6729">
        <v>1215</v>
      </c>
    </row>
    <row r="6730" spans="1:1" x14ac:dyDescent="0.25">
      <c r="A6730">
        <v>117</v>
      </c>
    </row>
    <row r="6731" spans="1:1" x14ac:dyDescent="0.25">
      <c r="A6731">
        <v>120</v>
      </c>
    </row>
    <row r="6732" spans="1:1" x14ac:dyDescent="0.25">
      <c r="A6732">
        <v>146</v>
      </c>
    </row>
    <row r="6733" spans="1:1" x14ac:dyDescent="0.25">
      <c r="A6733">
        <v>6</v>
      </c>
    </row>
    <row r="6734" spans="1:1" x14ac:dyDescent="0.25">
      <c r="A6734">
        <v>713</v>
      </c>
    </row>
    <row r="6735" spans="1:1" x14ac:dyDescent="0.25">
      <c r="A6735" t="s">
        <v>1843</v>
      </c>
    </row>
    <row r="6736" spans="1:1" x14ac:dyDescent="0.25">
      <c r="A6736" t="s">
        <v>1844</v>
      </c>
    </row>
    <row r="6737" spans="1:1" x14ac:dyDescent="0.25">
      <c r="A6737" t="s">
        <v>865</v>
      </c>
    </row>
    <row r="6738" spans="1:1" x14ac:dyDescent="0.25">
      <c r="A6738">
        <v>3198</v>
      </c>
    </row>
    <row r="6739" spans="1:1" x14ac:dyDescent="0.25">
      <c r="A6739">
        <v>196</v>
      </c>
    </row>
    <row r="6740" spans="1:1" x14ac:dyDescent="0.25">
      <c r="A6740">
        <v>240</v>
      </c>
    </row>
    <row r="6741" spans="1:1" x14ac:dyDescent="0.25">
      <c r="A6741">
        <v>216</v>
      </c>
    </row>
    <row r="6742" spans="1:1" x14ac:dyDescent="0.25">
      <c r="A6742">
        <v>6</v>
      </c>
    </row>
    <row r="6743" spans="1:1" x14ac:dyDescent="0.25">
      <c r="A6743">
        <v>714</v>
      </c>
    </row>
    <row r="6744" spans="1:1" x14ac:dyDescent="0.25">
      <c r="A6744" t="s">
        <v>1845</v>
      </c>
    </row>
    <row r="6745" spans="1:1" x14ac:dyDescent="0.25">
      <c r="A6745" t="s">
        <v>1846</v>
      </c>
    </row>
    <row r="6746" spans="1:1" x14ac:dyDescent="0.25">
      <c r="A6746" t="s">
        <v>1847</v>
      </c>
    </row>
    <row r="6747" spans="1:1" x14ac:dyDescent="0.25">
      <c r="A6747">
        <v>667</v>
      </c>
    </row>
    <row r="6748" spans="1:1" x14ac:dyDescent="0.25">
      <c r="A6748">
        <v>83</v>
      </c>
    </row>
    <row r="6749" spans="1:1" x14ac:dyDescent="0.25">
      <c r="A6749">
        <v>73</v>
      </c>
    </row>
    <row r="6750" spans="1:1" x14ac:dyDescent="0.25">
      <c r="A6750">
        <v>120</v>
      </c>
    </row>
    <row r="6751" spans="1:1" x14ac:dyDescent="0.25">
      <c r="A6751">
        <v>6</v>
      </c>
    </row>
    <row r="6752" spans="1:1" x14ac:dyDescent="0.25">
      <c r="A6752">
        <v>715</v>
      </c>
    </row>
    <row r="6753" spans="1:1" x14ac:dyDescent="0.25">
      <c r="A6753" t="s">
        <v>1848</v>
      </c>
    </row>
    <row r="6754" spans="1:1" x14ac:dyDescent="0.25">
      <c r="A6754" t="s">
        <v>1849</v>
      </c>
    </row>
    <row r="6755" spans="1:1" x14ac:dyDescent="0.25">
      <c r="A6755" t="s">
        <v>1847</v>
      </c>
    </row>
    <row r="6756" spans="1:1" x14ac:dyDescent="0.25">
      <c r="A6756">
        <v>2764</v>
      </c>
    </row>
    <row r="6757" spans="1:1" x14ac:dyDescent="0.25">
      <c r="A6757">
        <v>205</v>
      </c>
    </row>
    <row r="6758" spans="1:1" x14ac:dyDescent="0.25">
      <c r="A6758">
        <v>175</v>
      </c>
    </row>
    <row r="6759" spans="1:1" x14ac:dyDescent="0.25">
      <c r="A6759">
        <v>198</v>
      </c>
    </row>
    <row r="6760" spans="1:1" x14ac:dyDescent="0.25">
      <c r="A6760">
        <v>6</v>
      </c>
    </row>
    <row r="6761" spans="1:1" x14ac:dyDescent="0.25">
      <c r="A6761">
        <v>716</v>
      </c>
    </row>
    <row r="6762" spans="1:1" x14ac:dyDescent="0.25">
      <c r="A6762" t="s">
        <v>1850</v>
      </c>
    </row>
    <row r="6763" spans="1:1" x14ac:dyDescent="0.25">
      <c r="A6763" t="s">
        <v>1851</v>
      </c>
    </row>
    <row r="6764" spans="1:1" x14ac:dyDescent="0.25">
      <c r="A6764" t="s">
        <v>860</v>
      </c>
    </row>
    <row r="6765" spans="1:1" x14ac:dyDescent="0.25">
      <c r="A6765">
        <v>4514</v>
      </c>
    </row>
    <row r="6766" spans="1:1" x14ac:dyDescent="0.25">
      <c r="A6766">
        <v>275</v>
      </c>
    </row>
    <row r="6767" spans="1:1" x14ac:dyDescent="0.25">
      <c r="A6767">
        <v>203</v>
      </c>
    </row>
    <row r="6768" spans="1:1" x14ac:dyDescent="0.25">
      <c r="A6768">
        <v>270</v>
      </c>
    </row>
    <row r="6769" spans="1:1" x14ac:dyDescent="0.25">
      <c r="A6769">
        <v>6</v>
      </c>
    </row>
    <row r="6770" spans="1:1" x14ac:dyDescent="0.25">
      <c r="A6770">
        <v>717</v>
      </c>
    </row>
    <row r="6771" spans="1:1" x14ac:dyDescent="0.25">
      <c r="A6771" t="s">
        <v>1852</v>
      </c>
    </row>
    <row r="6772" spans="1:1" x14ac:dyDescent="0.25">
      <c r="A6772" t="s">
        <v>1853</v>
      </c>
    </row>
    <row r="6773" spans="1:1" x14ac:dyDescent="0.25">
      <c r="A6773" t="s">
        <v>1092</v>
      </c>
    </row>
    <row r="6774" spans="1:1" x14ac:dyDescent="0.25">
      <c r="A6774">
        <v>4514</v>
      </c>
    </row>
    <row r="6775" spans="1:1" x14ac:dyDescent="0.25">
      <c r="A6775">
        <v>275</v>
      </c>
    </row>
    <row r="6776" spans="1:1" x14ac:dyDescent="0.25">
      <c r="A6776">
        <v>203</v>
      </c>
    </row>
    <row r="6777" spans="1:1" x14ac:dyDescent="0.25">
      <c r="A6777">
        <v>270</v>
      </c>
    </row>
    <row r="6778" spans="1:1" x14ac:dyDescent="0.25">
      <c r="A6778">
        <v>6</v>
      </c>
    </row>
    <row r="6779" spans="1:1" x14ac:dyDescent="0.25">
      <c r="A6779">
        <v>718</v>
      </c>
    </row>
    <row r="6780" spans="1:1" x14ac:dyDescent="0.25">
      <c r="A6780" t="s">
        <v>1854</v>
      </c>
    </row>
    <row r="6781" spans="1:1" x14ac:dyDescent="0.25">
      <c r="A6781" t="s">
        <v>1855</v>
      </c>
    </row>
    <row r="6782" spans="1:1" x14ac:dyDescent="0.25">
      <c r="A6782" t="s">
        <v>1363</v>
      </c>
    </row>
    <row r="6783" spans="1:1" x14ac:dyDescent="0.25">
      <c r="A6783">
        <v>3410</v>
      </c>
    </row>
    <row r="6784" spans="1:1" x14ac:dyDescent="0.25">
      <c r="A6784">
        <v>203</v>
      </c>
    </row>
    <row r="6785" spans="1:1" x14ac:dyDescent="0.25">
      <c r="A6785">
        <v>232</v>
      </c>
    </row>
    <row r="6786" spans="1:1" x14ac:dyDescent="0.25">
      <c r="A6786">
        <v>239</v>
      </c>
    </row>
    <row r="6787" spans="1:1" x14ac:dyDescent="0.25">
      <c r="A6787">
        <v>6</v>
      </c>
    </row>
    <row r="6788" spans="1:1" x14ac:dyDescent="0.25">
      <c r="A6788">
        <v>719</v>
      </c>
    </row>
    <row r="6789" spans="1:1" x14ac:dyDescent="0.25">
      <c r="A6789" t="s">
        <v>1856</v>
      </c>
    </row>
    <row r="6790" spans="1:1" x14ac:dyDescent="0.25">
      <c r="A6790" t="s">
        <v>1857</v>
      </c>
    </row>
    <row r="6791" spans="1:1" x14ac:dyDescent="0.25">
      <c r="A6791" t="s">
        <v>1823</v>
      </c>
    </row>
    <row r="6792" spans="1:1" x14ac:dyDescent="0.25">
      <c r="A6792">
        <v>2734</v>
      </c>
    </row>
    <row r="6793" spans="1:1" x14ac:dyDescent="0.25">
      <c r="A6793">
        <v>190</v>
      </c>
    </row>
    <row r="6794" spans="1:1" x14ac:dyDescent="0.25">
      <c r="A6794">
        <v>285</v>
      </c>
    </row>
    <row r="6795" spans="1:1" x14ac:dyDescent="0.25">
      <c r="A6795">
        <v>137</v>
      </c>
    </row>
    <row r="6796" spans="1:1" x14ac:dyDescent="0.25">
      <c r="A6796">
        <v>6</v>
      </c>
    </row>
    <row r="6797" spans="1:1" x14ac:dyDescent="0.25">
      <c r="A6797">
        <v>720</v>
      </c>
    </row>
    <row r="6798" spans="1:1" x14ac:dyDescent="0.25">
      <c r="A6798" t="s">
        <v>1858</v>
      </c>
    </row>
    <row r="6799" spans="1:1" x14ac:dyDescent="0.25">
      <c r="A6799" t="s">
        <v>1859</v>
      </c>
    </row>
    <row r="6800" spans="1:1" x14ac:dyDescent="0.25">
      <c r="A6800" t="s">
        <v>1860</v>
      </c>
    </row>
    <row r="6801" spans="1:1" x14ac:dyDescent="0.25">
      <c r="A6801">
        <v>4014</v>
      </c>
    </row>
    <row r="6802" spans="1:1" x14ac:dyDescent="0.25">
      <c r="A6802">
        <v>287</v>
      </c>
    </row>
    <row r="6803" spans="1:1" x14ac:dyDescent="0.25">
      <c r="A6803">
        <v>206</v>
      </c>
    </row>
    <row r="6804" spans="1:1" x14ac:dyDescent="0.25">
      <c r="A6804">
        <v>190</v>
      </c>
    </row>
    <row r="6805" spans="1:1" x14ac:dyDescent="0.25">
      <c r="A6805">
        <v>6</v>
      </c>
    </row>
    <row r="6806" spans="1:1" x14ac:dyDescent="0.25">
      <c r="A6806">
        <v>721</v>
      </c>
    </row>
    <row r="6807" spans="1:1" x14ac:dyDescent="0.25">
      <c r="A6807" t="s">
        <v>1861</v>
      </c>
    </row>
    <row r="6808" spans="1:1" x14ac:dyDescent="0.25">
      <c r="A6808" t="s">
        <v>1862</v>
      </c>
    </row>
    <row r="6809" spans="1:1" x14ac:dyDescent="0.25">
      <c r="A6809" t="s">
        <v>1863</v>
      </c>
    </row>
    <row r="6810" spans="1:1" x14ac:dyDescent="0.25">
      <c r="A6810">
        <v>4775</v>
      </c>
    </row>
    <row r="6811" spans="1:1" x14ac:dyDescent="0.25">
      <c r="A6811">
        <v>341</v>
      </c>
    </row>
    <row r="6812" spans="1:1" x14ac:dyDescent="0.25">
      <c r="A6812">
        <v>210</v>
      </c>
    </row>
    <row r="6813" spans="1:1" x14ac:dyDescent="0.25">
      <c r="A6813">
        <v>190</v>
      </c>
    </row>
    <row r="6814" spans="1:1" x14ac:dyDescent="0.25">
      <c r="A6814">
        <v>6</v>
      </c>
    </row>
    <row r="6815" spans="1:1" x14ac:dyDescent="0.25">
      <c r="A6815">
        <v>722</v>
      </c>
    </row>
    <row r="6816" spans="1:1" x14ac:dyDescent="0.25">
      <c r="A6816" t="s">
        <v>1864</v>
      </c>
    </row>
    <row r="6817" spans="1:1" x14ac:dyDescent="0.25">
      <c r="A6817" t="s">
        <v>1865</v>
      </c>
    </row>
    <row r="6818" spans="1:1" x14ac:dyDescent="0.25">
      <c r="A6818" t="s">
        <v>1079</v>
      </c>
    </row>
    <row r="6819" spans="1:1" x14ac:dyDescent="0.25">
      <c r="A6819">
        <v>1058</v>
      </c>
    </row>
    <row r="6820" spans="1:1" x14ac:dyDescent="0.25">
      <c r="A6820">
        <v>102</v>
      </c>
    </row>
    <row r="6821" spans="1:1" x14ac:dyDescent="0.25">
      <c r="A6821">
        <v>99</v>
      </c>
    </row>
    <row r="6822" spans="1:1" x14ac:dyDescent="0.25">
      <c r="A6822">
        <v>169</v>
      </c>
    </row>
    <row r="6823" spans="1:1" x14ac:dyDescent="0.25">
      <c r="A6823">
        <v>7</v>
      </c>
    </row>
    <row r="6824" spans="1:1" x14ac:dyDescent="0.25">
      <c r="A6824">
        <v>723</v>
      </c>
    </row>
    <row r="6825" spans="1:1" x14ac:dyDescent="0.25">
      <c r="A6825" t="s">
        <v>1866</v>
      </c>
    </row>
    <row r="6826" spans="1:1" x14ac:dyDescent="0.25">
      <c r="A6826" t="s">
        <v>1867</v>
      </c>
    </row>
    <row r="6827" spans="1:1" x14ac:dyDescent="0.25">
      <c r="A6827" t="s">
        <v>1079</v>
      </c>
    </row>
    <row r="6828" spans="1:1" x14ac:dyDescent="0.25">
      <c r="A6828">
        <v>1725</v>
      </c>
    </row>
    <row r="6829" spans="1:1" x14ac:dyDescent="0.25">
      <c r="A6829">
        <v>142</v>
      </c>
    </row>
    <row r="6830" spans="1:1" x14ac:dyDescent="0.25">
      <c r="A6830">
        <v>139</v>
      </c>
    </row>
    <row r="6831" spans="1:1" x14ac:dyDescent="0.25">
      <c r="A6831">
        <v>186</v>
      </c>
    </row>
    <row r="6832" spans="1:1" x14ac:dyDescent="0.25">
      <c r="A6832">
        <v>7</v>
      </c>
    </row>
    <row r="6833" spans="1:1" x14ac:dyDescent="0.25">
      <c r="A6833">
        <v>724</v>
      </c>
    </row>
    <row r="6834" spans="1:1" x14ac:dyDescent="0.25">
      <c r="A6834" t="s">
        <v>1868</v>
      </c>
    </row>
    <row r="6835" spans="1:1" x14ac:dyDescent="0.25">
      <c r="A6835" t="s">
        <v>1869</v>
      </c>
    </row>
    <row r="6836" spans="1:1" x14ac:dyDescent="0.25">
      <c r="A6836" t="s">
        <v>1870</v>
      </c>
    </row>
    <row r="6837" spans="1:1" x14ac:dyDescent="0.25">
      <c r="A6837">
        <v>2775</v>
      </c>
    </row>
    <row r="6838" spans="1:1" x14ac:dyDescent="0.25">
      <c r="A6838">
        <v>210</v>
      </c>
    </row>
    <row r="6839" spans="1:1" x14ac:dyDescent="0.25">
      <c r="A6839">
        <v>179</v>
      </c>
    </row>
    <row r="6840" spans="1:1" x14ac:dyDescent="0.25">
      <c r="A6840">
        <v>186</v>
      </c>
    </row>
    <row r="6841" spans="1:1" x14ac:dyDescent="0.25">
      <c r="A6841">
        <v>7</v>
      </c>
    </row>
    <row r="6842" spans="1:1" x14ac:dyDescent="0.25">
      <c r="A6842">
        <v>725</v>
      </c>
    </row>
    <row r="6843" spans="1:1" x14ac:dyDescent="0.25">
      <c r="A6843" t="s">
        <v>1871</v>
      </c>
    </row>
    <row r="6844" spans="1:1" x14ac:dyDescent="0.25">
      <c r="A6844" t="s">
        <v>1872</v>
      </c>
    </row>
    <row r="6845" spans="1:1" x14ac:dyDescent="0.25">
      <c r="A6845" t="s">
        <v>804</v>
      </c>
    </row>
    <row r="6846" spans="1:1" x14ac:dyDescent="0.25">
      <c r="A6846">
        <v>1035</v>
      </c>
    </row>
    <row r="6847" spans="1:1" x14ac:dyDescent="0.25">
      <c r="A6847">
        <v>128</v>
      </c>
    </row>
    <row r="6848" spans="1:1" x14ac:dyDescent="0.25">
      <c r="A6848">
        <v>79</v>
      </c>
    </row>
    <row r="6849" spans="1:1" x14ac:dyDescent="0.25">
      <c r="A6849">
        <v>128</v>
      </c>
    </row>
    <row r="6850" spans="1:1" x14ac:dyDescent="0.25">
      <c r="A6850">
        <v>7</v>
      </c>
    </row>
    <row r="6851" spans="1:1" x14ac:dyDescent="0.25">
      <c r="A6851">
        <v>726</v>
      </c>
    </row>
    <row r="6852" spans="1:1" x14ac:dyDescent="0.25">
      <c r="A6852" t="s">
        <v>1873</v>
      </c>
    </row>
    <row r="6853" spans="1:1" x14ac:dyDescent="0.25">
      <c r="A6853" t="s">
        <v>1874</v>
      </c>
    </row>
    <row r="6854" spans="1:1" x14ac:dyDescent="0.25">
      <c r="A6854" t="s">
        <v>804</v>
      </c>
    </row>
    <row r="6855" spans="1:1" x14ac:dyDescent="0.25">
      <c r="A6855">
        <v>1710</v>
      </c>
    </row>
    <row r="6856" spans="1:1" x14ac:dyDescent="0.25">
      <c r="A6856">
        <v>174</v>
      </c>
    </row>
    <row r="6857" spans="1:1" x14ac:dyDescent="0.25">
      <c r="A6857">
        <v>103</v>
      </c>
    </row>
    <row r="6858" spans="1:1" x14ac:dyDescent="0.25">
      <c r="A6858">
        <v>163</v>
      </c>
    </row>
    <row r="6859" spans="1:1" x14ac:dyDescent="0.25">
      <c r="A6859">
        <v>7</v>
      </c>
    </row>
    <row r="6860" spans="1:1" x14ac:dyDescent="0.25">
      <c r="A6860">
        <v>727</v>
      </c>
    </row>
    <row r="6861" spans="1:1" x14ac:dyDescent="0.25">
      <c r="A6861" t="s">
        <v>1875</v>
      </c>
    </row>
    <row r="6862" spans="1:1" x14ac:dyDescent="0.25">
      <c r="A6862" t="s">
        <v>1876</v>
      </c>
    </row>
    <row r="6863" spans="1:1" x14ac:dyDescent="0.25">
      <c r="A6863" t="s">
        <v>1877</v>
      </c>
    </row>
    <row r="6864" spans="1:1" x14ac:dyDescent="0.25">
      <c r="A6864">
        <v>2996</v>
      </c>
    </row>
    <row r="6865" spans="1:1" x14ac:dyDescent="0.25">
      <c r="A6865">
        <v>214</v>
      </c>
    </row>
    <row r="6866" spans="1:1" x14ac:dyDescent="0.25">
      <c r="A6866">
        <v>175</v>
      </c>
    </row>
    <row r="6867" spans="1:1" x14ac:dyDescent="0.25">
      <c r="A6867">
        <v>216</v>
      </c>
    </row>
    <row r="6868" spans="1:1" x14ac:dyDescent="0.25">
      <c r="A6868">
        <v>7</v>
      </c>
    </row>
    <row r="6869" spans="1:1" x14ac:dyDescent="0.25">
      <c r="A6869">
        <v>728</v>
      </c>
    </row>
    <row r="6870" spans="1:1" x14ac:dyDescent="0.25">
      <c r="A6870" t="s">
        <v>1878</v>
      </c>
    </row>
    <row r="6871" spans="1:1" x14ac:dyDescent="0.25">
      <c r="A6871" t="s">
        <v>1879</v>
      </c>
    </row>
    <row r="6872" spans="1:1" x14ac:dyDescent="0.25">
      <c r="A6872" t="s">
        <v>809</v>
      </c>
    </row>
    <row r="6873" spans="1:1" x14ac:dyDescent="0.25">
      <c r="A6873">
        <v>1129</v>
      </c>
    </row>
    <row r="6874" spans="1:1" x14ac:dyDescent="0.25">
      <c r="A6874">
        <v>120</v>
      </c>
    </row>
    <row r="6875" spans="1:1" x14ac:dyDescent="0.25">
      <c r="A6875">
        <v>103</v>
      </c>
    </row>
    <row r="6876" spans="1:1" x14ac:dyDescent="0.25">
      <c r="A6876">
        <v>137</v>
      </c>
    </row>
    <row r="6877" spans="1:1" x14ac:dyDescent="0.25">
      <c r="A6877">
        <v>7</v>
      </c>
    </row>
    <row r="6878" spans="1:1" x14ac:dyDescent="0.25">
      <c r="A6878">
        <v>729</v>
      </c>
    </row>
    <row r="6879" spans="1:1" x14ac:dyDescent="0.25">
      <c r="A6879" t="s">
        <v>1880</v>
      </c>
    </row>
    <row r="6880" spans="1:1" x14ac:dyDescent="0.25">
      <c r="A6880" t="s">
        <v>1881</v>
      </c>
    </row>
    <row r="6881" spans="1:1" x14ac:dyDescent="0.25">
      <c r="A6881" t="s">
        <v>809</v>
      </c>
    </row>
    <row r="6882" spans="1:1" x14ac:dyDescent="0.25">
      <c r="A6882">
        <v>1885</v>
      </c>
    </row>
    <row r="6883" spans="1:1" x14ac:dyDescent="0.25">
      <c r="A6883">
        <v>168</v>
      </c>
    </row>
    <row r="6884" spans="1:1" x14ac:dyDescent="0.25">
      <c r="A6884">
        <v>145</v>
      </c>
    </row>
    <row r="6885" spans="1:1" x14ac:dyDescent="0.25">
      <c r="A6885">
        <v>155</v>
      </c>
    </row>
    <row r="6886" spans="1:1" x14ac:dyDescent="0.25">
      <c r="A6886">
        <v>7</v>
      </c>
    </row>
    <row r="6887" spans="1:1" x14ac:dyDescent="0.25">
      <c r="A6887">
        <v>730</v>
      </c>
    </row>
    <row r="6888" spans="1:1" x14ac:dyDescent="0.25">
      <c r="A6888" t="s">
        <v>1882</v>
      </c>
    </row>
    <row r="6889" spans="1:1" x14ac:dyDescent="0.25">
      <c r="A6889" t="s">
        <v>1883</v>
      </c>
    </row>
    <row r="6890" spans="1:1" x14ac:dyDescent="0.25">
      <c r="A6890" t="s">
        <v>1073</v>
      </c>
    </row>
    <row r="6891" spans="1:1" x14ac:dyDescent="0.25">
      <c r="A6891">
        <v>3200</v>
      </c>
    </row>
    <row r="6892" spans="1:1" x14ac:dyDescent="0.25">
      <c r="A6892">
        <v>232</v>
      </c>
    </row>
    <row r="6893" spans="1:1" x14ac:dyDescent="0.25">
      <c r="A6893">
        <v>195</v>
      </c>
    </row>
    <row r="6894" spans="1:1" x14ac:dyDescent="0.25">
      <c r="A6894">
        <v>190</v>
      </c>
    </row>
    <row r="6895" spans="1:1" x14ac:dyDescent="0.25">
      <c r="A6895">
        <v>7</v>
      </c>
    </row>
    <row r="6896" spans="1:1" x14ac:dyDescent="0.25">
      <c r="A6896">
        <v>731</v>
      </c>
    </row>
    <row r="6897" spans="1:1" x14ac:dyDescent="0.25">
      <c r="A6897" t="s">
        <v>1884</v>
      </c>
    </row>
    <row r="6898" spans="1:1" x14ac:dyDescent="0.25">
      <c r="A6898" t="s">
        <v>1885</v>
      </c>
    </row>
    <row r="6899" spans="1:1" x14ac:dyDescent="0.25">
      <c r="A6899" t="s">
        <v>822</v>
      </c>
    </row>
    <row r="6900" spans="1:1" x14ac:dyDescent="0.25">
      <c r="A6900">
        <v>910</v>
      </c>
    </row>
    <row r="6901" spans="1:1" x14ac:dyDescent="0.25">
      <c r="A6901">
        <v>136</v>
      </c>
    </row>
    <row r="6902" spans="1:1" x14ac:dyDescent="0.25">
      <c r="A6902">
        <v>59</v>
      </c>
    </row>
    <row r="6903" spans="1:1" x14ac:dyDescent="0.25">
      <c r="A6903">
        <v>111</v>
      </c>
    </row>
    <row r="6904" spans="1:1" x14ac:dyDescent="0.25">
      <c r="A6904">
        <v>7</v>
      </c>
    </row>
    <row r="6905" spans="1:1" x14ac:dyDescent="0.25">
      <c r="A6905">
        <v>732</v>
      </c>
    </row>
    <row r="6906" spans="1:1" x14ac:dyDescent="0.25">
      <c r="A6906" t="s">
        <v>1886</v>
      </c>
    </row>
    <row r="6907" spans="1:1" x14ac:dyDescent="0.25">
      <c r="A6907" t="s">
        <v>1887</v>
      </c>
    </row>
    <row r="6908" spans="1:1" x14ac:dyDescent="0.25">
      <c r="A6908" t="s">
        <v>822</v>
      </c>
    </row>
    <row r="6909" spans="1:1" x14ac:dyDescent="0.25">
      <c r="A6909">
        <v>1478</v>
      </c>
    </row>
    <row r="6910" spans="1:1" x14ac:dyDescent="0.25">
      <c r="A6910">
        <v>159</v>
      </c>
    </row>
    <row r="6911" spans="1:1" x14ac:dyDescent="0.25">
      <c r="A6911">
        <v>100</v>
      </c>
    </row>
    <row r="6912" spans="1:1" x14ac:dyDescent="0.25">
      <c r="A6912">
        <v>146</v>
      </c>
    </row>
    <row r="6913" spans="1:1" x14ac:dyDescent="0.25">
      <c r="A6913">
        <v>7</v>
      </c>
    </row>
    <row r="6914" spans="1:1" x14ac:dyDescent="0.25">
      <c r="A6914">
        <v>733</v>
      </c>
    </row>
    <row r="6915" spans="1:1" x14ac:dyDescent="0.25">
      <c r="A6915" t="s">
        <v>1888</v>
      </c>
    </row>
    <row r="6916" spans="1:1" x14ac:dyDescent="0.25">
      <c r="A6916" t="s">
        <v>1889</v>
      </c>
    </row>
    <row r="6917" spans="1:1" x14ac:dyDescent="0.25">
      <c r="A6917" t="s">
        <v>822</v>
      </c>
    </row>
    <row r="6918" spans="1:1" x14ac:dyDescent="0.25">
      <c r="A6918">
        <v>2689</v>
      </c>
    </row>
    <row r="6919" spans="1:1" x14ac:dyDescent="0.25">
      <c r="A6919">
        <v>222</v>
      </c>
    </row>
    <row r="6920" spans="1:1" x14ac:dyDescent="0.25">
      <c r="A6920">
        <v>146</v>
      </c>
    </row>
    <row r="6921" spans="1:1" x14ac:dyDescent="0.25">
      <c r="A6921">
        <v>190</v>
      </c>
    </row>
    <row r="6922" spans="1:1" x14ac:dyDescent="0.25">
      <c r="A6922">
        <v>7</v>
      </c>
    </row>
    <row r="6923" spans="1:1" x14ac:dyDescent="0.25">
      <c r="A6923">
        <v>734</v>
      </c>
    </row>
    <row r="6924" spans="1:1" x14ac:dyDescent="0.25">
      <c r="A6924" t="s">
        <v>1890</v>
      </c>
    </row>
    <row r="6925" spans="1:1" x14ac:dyDescent="0.25">
      <c r="A6925" t="s">
        <v>1891</v>
      </c>
    </row>
    <row r="6926" spans="1:1" x14ac:dyDescent="0.25">
      <c r="A6926" t="s">
        <v>826</v>
      </c>
    </row>
    <row r="6927" spans="1:1" x14ac:dyDescent="0.25">
      <c r="A6927">
        <v>880</v>
      </c>
    </row>
    <row r="6928" spans="1:1" x14ac:dyDescent="0.25">
      <c r="A6928">
        <v>122</v>
      </c>
    </row>
    <row r="6929" spans="1:1" x14ac:dyDescent="0.25">
      <c r="A6929">
        <v>56</v>
      </c>
    </row>
    <row r="6930" spans="1:1" x14ac:dyDescent="0.25">
      <c r="A6930">
        <v>134</v>
      </c>
    </row>
    <row r="6931" spans="1:1" x14ac:dyDescent="0.25">
      <c r="A6931">
        <v>7</v>
      </c>
    </row>
    <row r="6932" spans="1:1" x14ac:dyDescent="0.25">
      <c r="A6932">
        <v>735</v>
      </c>
    </row>
    <row r="6933" spans="1:1" x14ac:dyDescent="0.25">
      <c r="A6933" t="s">
        <v>1892</v>
      </c>
    </row>
    <row r="6934" spans="1:1" x14ac:dyDescent="0.25">
      <c r="A6934" t="s">
        <v>1893</v>
      </c>
    </row>
    <row r="6935" spans="1:1" x14ac:dyDescent="0.25">
      <c r="A6935" t="s">
        <v>826</v>
      </c>
    </row>
    <row r="6936" spans="1:1" x14ac:dyDescent="0.25">
      <c r="A6936">
        <v>2185</v>
      </c>
    </row>
    <row r="6937" spans="1:1" x14ac:dyDescent="0.25">
      <c r="A6937">
        <v>194</v>
      </c>
    </row>
    <row r="6938" spans="1:1" x14ac:dyDescent="0.25">
      <c r="A6938">
        <v>113</v>
      </c>
    </row>
    <row r="6939" spans="1:1" x14ac:dyDescent="0.25">
      <c r="A6939">
        <v>204</v>
      </c>
    </row>
    <row r="6940" spans="1:1" x14ac:dyDescent="0.25">
      <c r="A6940">
        <v>7</v>
      </c>
    </row>
    <row r="6941" spans="1:1" x14ac:dyDescent="0.25">
      <c r="A6941">
        <v>736</v>
      </c>
    </row>
    <row r="6942" spans="1:1" x14ac:dyDescent="0.25">
      <c r="A6942" t="s">
        <v>1894</v>
      </c>
    </row>
    <row r="6943" spans="1:1" x14ac:dyDescent="0.25">
      <c r="A6943" t="s">
        <v>1895</v>
      </c>
    </row>
    <row r="6944" spans="1:1" x14ac:dyDescent="0.25">
      <c r="A6944" t="s">
        <v>813</v>
      </c>
    </row>
    <row r="6945" spans="1:1" x14ac:dyDescent="0.25">
      <c r="A6945">
        <v>984</v>
      </c>
    </row>
    <row r="6946" spans="1:1" x14ac:dyDescent="0.25">
      <c r="A6946">
        <v>115</v>
      </c>
    </row>
    <row r="6947" spans="1:1" x14ac:dyDescent="0.25">
      <c r="A6947">
        <v>85</v>
      </c>
    </row>
    <row r="6948" spans="1:1" x14ac:dyDescent="0.25">
      <c r="A6948">
        <v>132</v>
      </c>
    </row>
    <row r="6949" spans="1:1" x14ac:dyDescent="0.25">
      <c r="A6949">
        <v>7</v>
      </c>
    </row>
    <row r="6950" spans="1:1" x14ac:dyDescent="0.25">
      <c r="A6950">
        <v>737</v>
      </c>
    </row>
    <row r="6951" spans="1:1" x14ac:dyDescent="0.25">
      <c r="A6951" t="s">
        <v>1896</v>
      </c>
    </row>
    <row r="6952" spans="1:1" x14ac:dyDescent="0.25">
      <c r="A6952" t="s">
        <v>1897</v>
      </c>
    </row>
    <row r="6953" spans="1:1" x14ac:dyDescent="0.25">
      <c r="A6953" t="s">
        <v>1611</v>
      </c>
    </row>
    <row r="6954" spans="1:1" x14ac:dyDescent="0.25">
      <c r="A6954">
        <v>1697</v>
      </c>
    </row>
    <row r="6955" spans="1:1" x14ac:dyDescent="0.25">
      <c r="A6955">
        <v>145</v>
      </c>
    </row>
    <row r="6956" spans="1:1" x14ac:dyDescent="0.25">
      <c r="A6956">
        <v>161</v>
      </c>
    </row>
    <row r="6957" spans="1:1" x14ac:dyDescent="0.25">
      <c r="A6957">
        <v>149</v>
      </c>
    </row>
    <row r="6958" spans="1:1" x14ac:dyDescent="0.25">
      <c r="A6958">
        <v>7</v>
      </c>
    </row>
    <row r="6959" spans="1:1" x14ac:dyDescent="0.25">
      <c r="A6959">
        <v>738</v>
      </c>
    </row>
    <row r="6960" spans="1:1" x14ac:dyDescent="0.25">
      <c r="A6960" t="s">
        <v>1898</v>
      </c>
    </row>
    <row r="6961" spans="1:1" x14ac:dyDescent="0.25">
      <c r="A6961" t="s">
        <v>1899</v>
      </c>
    </row>
    <row r="6962" spans="1:1" x14ac:dyDescent="0.25">
      <c r="A6962" t="s">
        <v>1611</v>
      </c>
    </row>
    <row r="6963" spans="1:1" x14ac:dyDescent="0.25">
      <c r="A6963">
        <v>3117</v>
      </c>
    </row>
    <row r="6964" spans="1:1" x14ac:dyDescent="0.25">
      <c r="A6964">
        <v>254</v>
      </c>
    </row>
    <row r="6965" spans="1:1" x14ac:dyDescent="0.25">
      <c r="A6965">
        <v>158</v>
      </c>
    </row>
    <row r="6966" spans="1:1" x14ac:dyDescent="0.25">
      <c r="A6966">
        <v>184</v>
      </c>
    </row>
    <row r="6967" spans="1:1" x14ac:dyDescent="0.25">
      <c r="A6967">
        <v>7</v>
      </c>
    </row>
    <row r="6968" spans="1:1" x14ac:dyDescent="0.25">
      <c r="A6968">
        <v>739</v>
      </c>
    </row>
    <row r="6969" spans="1:1" x14ac:dyDescent="0.25">
      <c r="A6969" t="s">
        <v>1900</v>
      </c>
    </row>
    <row r="6970" spans="1:1" x14ac:dyDescent="0.25">
      <c r="A6970" t="s">
        <v>1901</v>
      </c>
    </row>
    <row r="6971" spans="1:1" x14ac:dyDescent="0.25">
      <c r="A6971" t="s">
        <v>901</v>
      </c>
    </row>
    <row r="6972" spans="1:1" x14ac:dyDescent="0.25">
      <c r="A6972">
        <v>1363</v>
      </c>
    </row>
    <row r="6973" spans="1:1" x14ac:dyDescent="0.25">
      <c r="A6973">
        <v>150</v>
      </c>
    </row>
    <row r="6974" spans="1:1" x14ac:dyDescent="0.25">
      <c r="A6974">
        <v>104</v>
      </c>
    </row>
    <row r="6975" spans="1:1" x14ac:dyDescent="0.25">
      <c r="A6975">
        <v>132</v>
      </c>
    </row>
    <row r="6976" spans="1:1" x14ac:dyDescent="0.25">
      <c r="A6976">
        <v>7</v>
      </c>
    </row>
    <row r="6977" spans="1:1" x14ac:dyDescent="0.25">
      <c r="A6977">
        <v>740</v>
      </c>
    </row>
    <row r="6978" spans="1:1" x14ac:dyDescent="0.25">
      <c r="A6978" t="s">
        <v>1902</v>
      </c>
    </row>
    <row r="6979" spans="1:1" x14ac:dyDescent="0.25">
      <c r="A6979" t="s">
        <v>1903</v>
      </c>
    </row>
    <row r="6980" spans="1:1" x14ac:dyDescent="0.25">
      <c r="A6980" t="s">
        <v>1904</v>
      </c>
    </row>
    <row r="6981" spans="1:1" x14ac:dyDescent="0.25">
      <c r="A6981">
        <v>2907</v>
      </c>
    </row>
    <row r="6982" spans="1:1" x14ac:dyDescent="0.25">
      <c r="A6982">
        <v>231</v>
      </c>
    </row>
    <row r="6983" spans="1:1" x14ac:dyDescent="0.25">
      <c r="A6983">
        <v>138</v>
      </c>
    </row>
    <row r="6984" spans="1:1" x14ac:dyDescent="0.25">
      <c r="A6984">
        <v>219</v>
      </c>
    </row>
    <row r="6985" spans="1:1" x14ac:dyDescent="0.25">
      <c r="A6985">
        <v>7</v>
      </c>
    </row>
    <row r="6986" spans="1:1" x14ac:dyDescent="0.25">
      <c r="A6986">
        <v>741</v>
      </c>
    </row>
    <row r="6987" spans="1:1" x14ac:dyDescent="0.25">
      <c r="A6987" t="s">
        <v>1905</v>
      </c>
    </row>
    <row r="6988" spans="1:1" x14ac:dyDescent="0.25">
      <c r="A6988" t="s">
        <v>1906</v>
      </c>
    </row>
    <row r="6989" spans="1:1" x14ac:dyDescent="0.25">
      <c r="A6989" t="s">
        <v>807</v>
      </c>
    </row>
    <row r="6990" spans="1:1" x14ac:dyDescent="0.25">
      <c r="A6990">
        <v>2333</v>
      </c>
    </row>
    <row r="6991" spans="1:1" x14ac:dyDescent="0.25">
      <c r="A6991">
        <v>196</v>
      </c>
    </row>
    <row r="6992" spans="1:1" x14ac:dyDescent="0.25">
      <c r="A6992">
        <v>145</v>
      </c>
    </row>
    <row r="6993" spans="1:1" x14ac:dyDescent="0.25">
      <c r="A6993">
        <v>181</v>
      </c>
    </row>
    <row r="6994" spans="1:1" x14ac:dyDescent="0.25">
      <c r="A6994">
        <v>7</v>
      </c>
    </row>
    <row r="6995" spans="1:1" x14ac:dyDescent="0.25">
      <c r="A6995">
        <v>742</v>
      </c>
    </row>
    <row r="6996" spans="1:1" x14ac:dyDescent="0.25">
      <c r="A6996" t="s">
        <v>1907</v>
      </c>
    </row>
    <row r="6997" spans="1:1" x14ac:dyDescent="0.25">
      <c r="A6997" t="s">
        <v>1908</v>
      </c>
    </row>
    <row r="6998" spans="1:1" x14ac:dyDescent="0.25">
      <c r="A6998" t="s">
        <v>1909</v>
      </c>
    </row>
    <row r="6999" spans="1:1" x14ac:dyDescent="0.25">
      <c r="A6999">
        <v>888</v>
      </c>
    </row>
    <row r="7000" spans="1:1" x14ac:dyDescent="0.25">
      <c r="A7000">
        <v>110</v>
      </c>
    </row>
    <row r="7001" spans="1:1" x14ac:dyDescent="0.25">
      <c r="A7001">
        <v>81</v>
      </c>
    </row>
    <row r="7002" spans="1:1" x14ac:dyDescent="0.25">
      <c r="A7002">
        <v>120</v>
      </c>
    </row>
    <row r="7003" spans="1:1" x14ac:dyDescent="0.25">
      <c r="A7003">
        <v>7</v>
      </c>
    </row>
    <row r="7004" spans="1:1" x14ac:dyDescent="0.25">
      <c r="A7004">
        <v>743</v>
      </c>
    </row>
    <row r="7005" spans="1:1" x14ac:dyDescent="0.25">
      <c r="A7005" t="s">
        <v>1910</v>
      </c>
    </row>
    <row r="7006" spans="1:1" x14ac:dyDescent="0.25">
      <c r="A7006" t="s">
        <v>1911</v>
      </c>
    </row>
    <row r="7007" spans="1:1" x14ac:dyDescent="0.25">
      <c r="A7007" t="s">
        <v>1909</v>
      </c>
    </row>
    <row r="7008" spans="1:1" x14ac:dyDescent="0.25">
      <c r="A7008">
        <v>2200</v>
      </c>
    </row>
    <row r="7009" spans="1:1" x14ac:dyDescent="0.25">
      <c r="A7009">
        <v>198</v>
      </c>
    </row>
    <row r="7010" spans="1:1" x14ac:dyDescent="0.25">
      <c r="A7010">
        <v>146</v>
      </c>
    </row>
    <row r="7011" spans="1:1" x14ac:dyDescent="0.25">
      <c r="A7011">
        <v>155</v>
      </c>
    </row>
    <row r="7012" spans="1:1" x14ac:dyDescent="0.25">
      <c r="A7012">
        <v>7</v>
      </c>
    </row>
    <row r="7013" spans="1:1" x14ac:dyDescent="0.25">
      <c r="A7013">
        <v>744</v>
      </c>
    </row>
    <row r="7014" spans="1:1" x14ac:dyDescent="0.25">
      <c r="A7014" t="s">
        <v>1912</v>
      </c>
    </row>
    <row r="7015" spans="1:1" x14ac:dyDescent="0.25">
      <c r="A7015" t="s">
        <v>1913</v>
      </c>
    </row>
    <row r="7016" spans="1:1" x14ac:dyDescent="0.25">
      <c r="A7016" t="s">
        <v>1076</v>
      </c>
    </row>
    <row r="7017" spans="1:1" x14ac:dyDescent="0.25">
      <c r="A7017">
        <v>950</v>
      </c>
    </row>
    <row r="7018" spans="1:1" x14ac:dyDescent="0.25">
      <c r="A7018">
        <v>117</v>
      </c>
    </row>
    <row r="7019" spans="1:1" x14ac:dyDescent="0.25">
      <c r="A7019">
        <v>78</v>
      </c>
    </row>
    <row r="7020" spans="1:1" x14ac:dyDescent="0.25">
      <c r="A7020">
        <v>128</v>
      </c>
    </row>
    <row r="7021" spans="1:1" x14ac:dyDescent="0.25">
      <c r="A7021">
        <v>7</v>
      </c>
    </row>
    <row r="7022" spans="1:1" x14ac:dyDescent="0.25">
      <c r="A7022">
        <v>745</v>
      </c>
    </row>
    <row r="7023" spans="1:1" x14ac:dyDescent="0.25">
      <c r="A7023" t="s">
        <v>1914</v>
      </c>
    </row>
    <row r="7024" spans="1:1" x14ac:dyDescent="0.25">
      <c r="A7024" t="s">
        <v>1915</v>
      </c>
    </row>
    <row r="7025" spans="1:1" x14ac:dyDescent="0.25">
      <c r="A7025" t="s">
        <v>1076</v>
      </c>
    </row>
    <row r="7026" spans="1:1" x14ac:dyDescent="0.25">
      <c r="A7026">
        <v>2678</v>
      </c>
    </row>
    <row r="7027" spans="1:1" x14ac:dyDescent="0.25">
      <c r="A7027">
        <v>231</v>
      </c>
    </row>
    <row r="7028" spans="1:1" x14ac:dyDescent="0.25">
      <c r="A7028">
        <v>140</v>
      </c>
    </row>
    <row r="7029" spans="1:1" x14ac:dyDescent="0.25">
      <c r="A7029">
        <v>181</v>
      </c>
    </row>
    <row r="7030" spans="1:1" x14ac:dyDescent="0.25">
      <c r="A7030">
        <v>7</v>
      </c>
    </row>
    <row r="7031" spans="1:1" x14ac:dyDescent="0.25">
      <c r="A7031">
        <v>746</v>
      </c>
    </row>
    <row r="7032" spans="1:1" x14ac:dyDescent="0.25">
      <c r="A7032" t="s">
        <v>1916</v>
      </c>
    </row>
    <row r="7033" spans="1:1" x14ac:dyDescent="0.25">
      <c r="A7033" t="s">
        <v>1917</v>
      </c>
    </row>
    <row r="7034" spans="1:1" x14ac:dyDescent="0.25">
      <c r="A7034" t="s">
        <v>809</v>
      </c>
    </row>
    <row r="7035" spans="1:1" x14ac:dyDescent="0.25">
      <c r="A7035">
        <v>346</v>
      </c>
    </row>
    <row r="7036" spans="1:1" x14ac:dyDescent="0.25">
      <c r="A7036">
        <v>46</v>
      </c>
    </row>
    <row r="7037" spans="1:1" x14ac:dyDescent="0.25">
      <c r="A7037">
        <v>43</v>
      </c>
    </row>
    <row r="7038" spans="1:1" x14ac:dyDescent="0.25">
      <c r="A7038">
        <v>128</v>
      </c>
    </row>
    <row r="7039" spans="1:1" x14ac:dyDescent="0.25">
      <c r="A7039">
        <v>7</v>
      </c>
    </row>
    <row r="7040" spans="1:1" x14ac:dyDescent="0.25">
      <c r="A7040">
        <v>747</v>
      </c>
    </row>
    <row r="7041" spans="1:1" x14ac:dyDescent="0.25">
      <c r="A7041" t="s">
        <v>1918</v>
      </c>
    </row>
    <row r="7042" spans="1:1" x14ac:dyDescent="0.25">
      <c r="A7042" t="s">
        <v>1919</v>
      </c>
    </row>
    <row r="7043" spans="1:1" x14ac:dyDescent="0.25">
      <c r="A7043" t="s">
        <v>1790</v>
      </c>
    </row>
    <row r="7044" spans="1:1" x14ac:dyDescent="0.25">
      <c r="A7044">
        <v>972</v>
      </c>
    </row>
    <row r="7045" spans="1:1" x14ac:dyDescent="0.25">
      <c r="A7045">
        <v>98</v>
      </c>
    </row>
    <row r="7046" spans="1:1" x14ac:dyDescent="0.25">
      <c r="A7046">
        <v>110</v>
      </c>
    </row>
    <row r="7047" spans="1:1" x14ac:dyDescent="0.25">
      <c r="A7047">
        <v>137</v>
      </c>
    </row>
    <row r="7048" spans="1:1" x14ac:dyDescent="0.25">
      <c r="A7048">
        <v>7</v>
      </c>
    </row>
    <row r="7049" spans="1:1" x14ac:dyDescent="0.25">
      <c r="A7049">
        <v>748</v>
      </c>
    </row>
    <row r="7050" spans="1:1" x14ac:dyDescent="0.25">
      <c r="A7050" t="s">
        <v>1920</v>
      </c>
    </row>
    <row r="7051" spans="1:1" x14ac:dyDescent="0.25">
      <c r="A7051" t="s">
        <v>1921</v>
      </c>
    </row>
    <row r="7052" spans="1:1" x14ac:dyDescent="0.25">
      <c r="A7052" t="s">
        <v>1790</v>
      </c>
    </row>
    <row r="7053" spans="1:1" x14ac:dyDescent="0.25">
      <c r="A7053">
        <v>1685</v>
      </c>
    </row>
    <row r="7054" spans="1:1" x14ac:dyDescent="0.25">
      <c r="A7054">
        <v>114</v>
      </c>
    </row>
    <row r="7055" spans="1:1" x14ac:dyDescent="0.25">
      <c r="A7055">
        <v>273</v>
      </c>
    </row>
    <row r="7056" spans="1:1" x14ac:dyDescent="0.25">
      <c r="A7056">
        <v>137</v>
      </c>
    </row>
    <row r="7057" spans="1:1" x14ac:dyDescent="0.25">
      <c r="A7057">
        <v>7</v>
      </c>
    </row>
    <row r="7058" spans="1:1" x14ac:dyDescent="0.25">
      <c r="A7058">
        <v>749</v>
      </c>
    </row>
    <row r="7059" spans="1:1" x14ac:dyDescent="0.25">
      <c r="A7059" t="s">
        <v>1922</v>
      </c>
    </row>
    <row r="7060" spans="1:1" x14ac:dyDescent="0.25">
      <c r="A7060" t="s">
        <v>1923</v>
      </c>
    </row>
    <row r="7061" spans="1:1" x14ac:dyDescent="0.25">
      <c r="A7061" t="s">
        <v>845</v>
      </c>
    </row>
    <row r="7062" spans="1:1" x14ac:dyDescent="0.25">
      <c r="A7062">
        <v>1892</v>
      </c>
    </row>
    <row r="7063" spans="1:1" x14ac:dyDescent="0.25">
      <c r="A7063">
        <v>175</v>
      </c>
    </row>
    <row r="7064" spans="1:1" x14ac:dyDescent="0.25">
      <c r="A7064">
        <v>121</v>
      </c>
    </row>
    <row r="7065" spans="1:1" x14ac:dyDescent="0.25">
      <c r="A7065">
        <v>172</v>
      </c>
    </row>
    <row r="7066" spans="1:1" x14ac:dyDescent="0.25">
      <c r="A7066">
        <v>7</v>
      </c>
    </row>
    <row r="7067" spans="1:1" x14ac:dyDescent="0.25">
      <c r="A7067">
        <v>750</v>
      </c>
    </row>
    <row r="7068" spans="1:1" x14ac:dyDescent="0.25">
      <c r="A7068" t="s">
        <v>1924</v>
      </c>
    </row>
    <row r="7069" spans="1:1" x14ac:dyDescent="0.25">
      <c r="A7069" t="s">
        <v>1925</v>
      </c>
    </row>
    <row r="7070" spans="1:1" x14ac:dyDescent="0.25">
      <c r="A7070" t="s">
        <v>845</v>
      </c>
    </row>
    <row r="7071" spans="1:1" x14ac:dyDescent="0.25">
      <c r="A7071">
        <v>3046</v>
      </c>
    </row>
    <row r="7072" spans="1:1" x14ac:dyDescent="0.25">
      <c r="A7072">
        <v>214</v>
      </c>
    </row>
    <row r="7073" spans="1:1" x14ac:dyDescent="0.25">
      <c r="A7073">
        <v>174</v>
      </c>
    </row>
    <row r="7074" spans="1:1" x14ac:dyDescent="0.25">
      <c r="A7074">
        <v>225</v>
      </c>
    </row>
    <row r="7075" spans="1:1" x14ac:dyDescent="0.25">
      <c r="A7075">
        <v>7</v>
      </c>
    </row>
    <row r="7076" spans="1:1" x14ac:dyDescent="0.25">
      <c r="A7076">
        <v>751</v>
      </c>
    </row>
    <row r="7077" spans="1:1" x14ac:dyDescent="0.25">
      <c r="A7077" t="s">
        <v>1926</v>
      </c>
    </row>
    <row r="7078" spans="1:1" x14ac:dyDescent="0.25">
      <c r="A7078" t="s">
        <v>1927</v>
      </c>
    </row>
    <row r="7079" spans="1:1" x14ac:dyDescent="0.25">
      <c r="A7079" t="s">
        <v>1928</v>
      </c>
    </row>
    <row r="7080" spans="1:1" x14ac:dyDescent="0.25">
      <c r="A7080">
        <v>714</v>
      </c>
    </row>
    <row r="7081" spans="1:1" x14ac:dyDescent="0.25">
      <c r="A7081">
        <v>72</v>
      </c>
    </row>
    <row r="7082" spans="1:1" x14ac:dyDescent="0.25">
      <c r="A7082">
        <v>117</v>
      </c>
    </row>
    <row r="7083" spans="1:1" x14ac:dyDescent="0.25">
      <c r="A7083">
        <v>116</v>
      </c>
    </row>
    <row r="7084" spans="1:1" x14ac:dyDescent="0.25">
      <c r="A7084">
        <v>7</v>
      </c>
    </row>
    <row r="7085" spans="1:1" x14ac:dyDescent="0.25">
      <c r="A7085">
        <v>752</v>
      </c>
    </row>
    <row r="7086" spans="1:1" x14ac:dyDescent="0.25">
      <c r="A7086" t="s">
        <v>1929</v>
      </c>
    </row>
    <row r="7087" spans="1:1" x14ac:dyDescent="0.25">
      <c r="A7087" t="s">
        <v>1930</v>
      </c>
    </row>
    <row r="7088" spans="1:1" x14ac:dyDescent="0.25">
      <c r="A7088" t="s">
        <v>1928</v>
      </c>
    </row>
    <row r="7089" spans="1:1" x14ac:dyDescent="0.25">
      <c r="A7089">
        <v>1827</v>
      </c>
    </row>
    <row r="7090" spans="1:1" x14ac:dyDescent="0.25">
      <c r="A7090">
        <v>126</v>
      </c>
    </row>
    <row r="7091" spans="1:1" x14ac:dyDescent="0.25">
      <c r="A7091">
        <v>219</v>
      </c>
    </row>
    <row r="7092" spans="1:1" x14ac:dyDescent="0.25">
      <c r="A7092">
        <v>169</v>
      </c>
    </row>
    <row r="7093" spans="1:1" x14ac:dyDescent="0.25">
      <c r="A7093">
        <v>7</v>
      </c>
    </row>
    <row r="7094" spans="1:1" x14ac:dyDescent="0.25">
      <c r="A7094">
        <v>753</v>
      </c>
    </row>
    <row r="7095" spans="1:1" x14ac:dyDescent="0.25">
      <c r="A7095" t="s">
        <v>1931</v>
      </c>
    </row>
    <row r="7096" spans="1:1" x14ac:dyDescent="0.25">
      <c r="A7096" t="s">
        <v>1932</v>
      </c>
    </row>
    <row r="7097" spans="1:1" x14ac:dyDescent="0.25">
      <c r="A7097" t="s">
        <v>988</v>
      </c>
    </row>
    <row r="7098" spans="1:1" x14ac:dyDescent="0.25">
      <c r="A7098">
        <v>741</v>
      </c>
    </row>
    <row r="7099" spans="1:1" x14ac:dyDescent="0.25">
      <c r="A7099">
        <v>100</v>
      </c>
    </row>
    <row r="7100" spans="1:1" x14ac:dyDescent="0.25">
      <c r="A7100">
        <v>64</v>
      </c>
    </row>
    <row r="7101" spans="1:1" x14ac:dyDescent="0.25">
      <c r="A7101">
        <v>120</v>
      </c>
    </row>
    <row r="7102" spans="1:1" x14ac:dyDescent="0.25">
      <c r="A7102">
        <v>7</v>
      </c>
    </row>
    <row r="7103" spans="1:1" x14ac:dyDescent="0.25">
      <c r="A7103">
        <v>754</v>
      </c>
    </row>
    <row r="7104" spans="1:1" x14ac:dyDescent="0.25">
      <c r="A7104" t="s">
        <v>1933</v>
      </c>
    </row>
    <row r="7105" spans="1:1" x14ac:dyDescent="0.25">
      <c r="A7105" t="s">
        <v>1934</v>
      </c>
    </row>
    <row r="7106" spans="1:1" x14ac:dyDescent="0.25">
      <c r="A7106" t="s">
        <v>988</v>
      </c>
    </row>
    <row r="7107" spans="1:1" x14ac:dyDescent="0.25">
      <c r="A7107">
        <v>2398</v>
      </c>
    </row>
    <row r="7108" spans="1:1" x14ac:dyDescent="0.25">
      <c r="A7108">
        <v>192</v>
      </c>
    </row>
    <row r="7109" spans="1:1" x14ac:dyDescent="0.25">
      <c r="A7109">
        <v>169</v>
      </c>
    </row>
    <row r="7110" spans="1:1" x14ac:dyDescent="0.25">
      <c r="A7110">
        <v>172</v>
      </c>
    </row>
    <row r="7111" spans="1:1" x14ac:dyDescent="0.25">
      <c r="A7111">
        <v>7</v>
      </c>
    </row>
    <row r="7112" spans="1:1" x14ac:dyDescent="0.25">
      <c r="A7112">
        <v>755</v>
      </c>
    </row>
    <row r="7113" spans="1:1" x14ac:dyDescent="0.25">
      <c r="A7113" t="s">
        <v>1935</v>
      </c>
    </row>
    <row r="7114" spans="1:1" x14ac:dyDescent="0.25">
      <c r="A7114" t="s">
        <v>1936</v>
      </c>
    </row>
    <row r="7115" spans="1:1" x14ac:dyDescent="0.25">
      <c r="A7115" t="s">
        <v>1543</v>
      </c>
    </row>
    <row r="7116" spans="1:1" x14ac:dyDescent="0.25">
      <c r="A7116">
        <v>1033</v>
      </c>
    </row>
    <row r="7117" spans="1:1" x14ac:dyDescent="0.25">
      <c r="A7117">
        <v>108</v>
      </c>
    </row>
    <row r="7118" spans="1:1" x14ac:dyDescent="0.25">
      <c r="A7118">
        <v>119</v>
      </c>
    </row>
    <row r="7119" spans="1:1" x14ac:dyDescent="0.25">
      <c r="A7119">
        <v>120</v>
      </c>
    </row>
    <row r="7120" spans="1:1" x14ac:dyDescent="0.25">
      <c r="A7120">
        <v>7</v>
      </c>
    </row>
    <row r="7121" spans="1:1" x14ac:dyDescent="0.25">
      <c r="A7121">
        <v>756</v>
      </c>
    </row>
    <row r="7122" spans="1:1" x14ac:dyDescent="0.25">
      <c r="A7122" t="s">
        <v>1937</v>
      </c>
    </row>
    <row r="7123" spans="1:1" x14ac:dyDescent="0.25">
      <c r="A7123" t="s">
        <v>1938</v>
      </c>
    </row>
    <row r="7124" spans="1:1" x14ac:dyDescent="0.25">
      <c r="A7124" t="s">
        <v>1543</v>
      </c>
    </row>
    <row r="7125" spans="1:1" x14ac:dyDescent="0.25">
      <c r="A7125">
        <v>1861</v>
      </c>
    </row>
    <row r="7126" spans="1:1" x14ac:dyDescent="0.25">
      <c r="A7126">
        <v>154</v>
      </c>
    </row>
    <row r="7127" spans="1:1" x14ac:dyDescent="0.25">
      <c r="A7127">
        <v>168</v>
      </c>
    </row>
    <row r="7128" spans="1:1" x14ac:dyDescent="0.25">
      <c r="A7128">
        <v>155</v>
      </c>
    </row>
    <row r="7129" spans="1:1" x14ac:dyDescent="0.25">
      <c r="A7129">
        <v>7</v>
      </c>
    </row>
    <row r="7130" spans="1:1" x14ac:dyDescent="0.25">
      <c r="A7130">
        <v>757</v>
      </c>
    </row>
    <row r="7131" spans="1:1" x14ac:dyDescent="0.25">
      <c r="A7131" t="s">
        <v>1939</v>
      </c>
    </row>
    <row r="7132" spans="1:1" x14ac:dyDescent="0.25">
      <c r="A7132" t="s">
        <v>1940</v>
      </c>
    </row>
    <row r="7133" spans="1:1" x14ac:dyDescent="0.25">
      <c r="A7133" t="s">
        <v>1941</v>
      </c>
    </row>
    <row r="7134" spans="1:1" x14ac:dyDescent="0.25">
      <c r="A7134">
        <v>1122</v>
      </c>
    </row>
    <row r="7135" spans="1:1" x14ac:dyDescent="0.25">
      <c r="A7135">
        <v>136</v>
      </c>
    </row>
    <row r="7136" spans="1:1" x14ac:dyDescent="0.25">
      <c r="A7136">
        <v>80</v>
      </c>
    </row>
    <row r="7137" spans="1:1" x14ac:dyDescent="0.25">
      <c r="A7137">
        <v>134</v>
      </c>
    </row>
    <row r="7138" spans="1:1" x14ac:dyDescent="0.25">
      <c r="A7138">
        <v>7</v>
      </c>
    </row>
    <row r="7139" spans="1:1" x14ac:dyDescent="0.25">
      <c r="A7139">
        <v>758</v>
      </c>
    </row>
    <row r="7140" spans="1:1" x14ac:dyDescent="0.25">
      <c r="A7140" t="s">
        <v>1942</v>
      </c>
    </row>
    <row r="7141" spans="1:1" x14ac:dyDescent="0.25">
      <c r="A7141" t="s">
        <v>1943</v>
      </c>
    </row>
    <row r="7142" spans="1:1" x14ac:dyDescent="0.25">
      <c r="A7142" t="s">
        <v>1941</v>
      </c>
    </row>
    <row r="7143" spans="1:1" x14ac:dyDescent="0.25">
      <c r="A7143">
        <v>2479</v>
      </c>
    </row>
    <row r="7144" spans="1:1" x14ac:dyDescent="0.25">
      <c r="A7144">
        <v>228</v>
      </c>
    </row>
    <row r="7145" spans="1:1" x14ac:dyDescent="0.25">
      <c r="A7145">
        <v>130</v>
      </c>
    </row>
    <row r="7146" spans="1:1" x14ac:dyDescent="0.25">
      <c r="A7146">
        <v>169</v>
      </c>
    </row>
    <row r="7147" spans="1:1" x14ac:dyDescent="0.25">
      <c r="A7147">
        <v>7</v>
      </c>
    </row>
    <row r="7148" spans="1:1" x14ac:dyDescent="0.25">
      <c r="A7148">
        <v>759</v>
      </c>
    </row>
    <row r="7149" spans="1:1" x14ac:dyDescent="0.25">
      <c r="A7149" t="s">
        <v>1944</v>
      </c>
    </row>
    <row r="7150" spans="1:1" x14ac:dyDescent="0.25">
      <c r="A7150" t="s">
        <v>1945</v>
      </c>
    </row>
    <row r="7151" spans="1:1" x14ac:dyDescent="0.25">
      <c r="A7151" t="s">
        <v>1693</v>
      </c>
    </row>
    <row r="7152" spans="1:1" x14ac:dyDescent="0.25">
      <c r="A7152">
        <v>1352</v>
      </c>
    </row>
    <row r="7153" spans="1:1" x14ac:dyDescent="0.25">
      <c r="A7153">
        <v>136</v>
      </c>
    </row>
    <row r="7154" spans="1:1" x14ac:dyDescent="0.25">
      <c r="A7154">
        <v>95</v>
      </c>
    </row>
    <row r="7155" spans="1:1" x14ac:dyDescent="0.25">
      <c r="A7155">
        <v>172</v>
      </c>
    </row>
    <row r="7156" spans="1:1" x14ac:dyDescent="0.25">
      <c r="A7156">
        <v>7</v>
      </c>
    </row>
    <row r="7157" spans="1:1" x14ac:dyDescent="0.25">
      <c r="A7157">
        <v>760</v>
      </c>
    </row>
    <row r="7158" spans="1:1" x14ac:dyDescent="0.25">
      <c r="A7158" t="s">
        <v>1946</v>
      </c>
    </row>
    <row r="7159" spans="1:1" x14ac:dyDescent="0.25">
      <c r="A7159" t="s">
        <v>1947</v>
      </c>
    </row>
    <row r="7160" spans="1:1" x14ac:dyDescent="0.25">
      <c r="A7160" t="s">
        <v>1693</v>
      </c>
    </row>
    <row r="7161" spans="1:1" x14ac:dyDescent="0.25">
      <c r="A7161">
        <v>3117</v>
      </c>
    </row>
    <row r="7162" spans="1:1" x14ac:dyDescent="0.25">
      <c r="A7162">
        <v>226</v>
      </c>
    </row>
    <row r="7163" spans="1:1" x14ac:dyDescent="0.25">
      <c r="A7163">
        <v>141</v>
      </c>
    </row>
    <row r="7164" spans="1:1" x14ac:dyDescent="0.25">
      <c r="A7164">
        <v>260</v>
      </c>
    </row>
    <row r="7165" spans="1:1" x14ac:dyDescent="0.25">
      <c r="A7165">
        <v>7</v>
      </c>
    </row>
    <row r="7166" spans="1:1" x14ac:dyDescent="0.25">
      <c r="A7166">
        <v>761</v>
      </c>
    </row>
    <row r="7167" spans="1:1" x14ac:dyDescent="0.25">
      <c r="A7167" t="s">
        <v>1948</v>
      </c>
    </row>
    <row r="7168" spans="1:1" x14ac:dyDescent="0.25">
      <c r="A7168" t="s">
        <v>1949</v>
      </c>
    </row>
    <row r="7169" spans="1:1" x14ac:dyDescent="0.25">
      <c r="A7169" t="s">
        <v>988</v>
      </c>
    </row>
    <row r="7170" spans="1:1" x14ac:dyDescent="0.25">
      <c r="A7170">
        <v>470</v>
      </c>
    </row>
    <row r="7171" spans="1:1" x14ac:dyDescent="0.25">
      <c r="A7171">
        <v>55</v>
      </c>
    </row>
    <row r="7172" spans="1:1" x14ac:dyDescent="0.25">
      <c r="A7172">
        <v>69</v>
      </c>
    </row>
    <row r="7173" spans="1:1" x14ac:dyDescent="0.25">
      <c r="A7173">
        <v>123</v>
      </c>
    </row>
    <row r="7174" spans="1:1" x14ac:dyDescent="0.25">
      <c r="A7174">
        <v>7</v>
      </c>
    </row>
    <row r="7175" spans="1:1" x14ac:dyDescent="0.25">
      <c r="A7175">
        <v>762</v>
      </c>
    </row>
    <row r="7176" spans="1:1" x14ac:dyDescent="0.25">
      <c r="A7176" t="s">
        <v>1950</v>
      </c>
    </row>
    <row r="7177" spans="1:1" x14ac:dyDescent="0.25">
      <c r="A7177" t="s">
        <v>1951</v>
      </c>
    </row>
    <row r="7178" spans="1:1" x14ac:dyDescent="0.25">
      <c r="A7178" t="s">
        <v>988</v>
      </c>
    </row>
    <row r="7179" spans="1:1" x14ac:dyDescent="0.25">
      <c r="A7179">
        <v>757</v>
      </c>
    </row>
    <row r="7180" spans="1:1" x14ac:dyDescent="0.25">
      <c r="A7180">
        <v>78</v>
      </c>
    </row>
    <row r="7181" spans="1:1" x14ac:dyDescent="0.25">
      <c r="A7181">
        <v>94</v>
      </c>
    </row>
    <row r="7182" spans="1:1" x14ac:dyDescent="0.25">
      <c r="A7182">
        <v>141</v>
      </c>
    </row>
    <row r="7183" spans="1:1" x14ac:dyDescent="0.25">
      <c r="A7183">
        <v>7</v>
      </c>
    </row>
    <row r="7184" spans="1:1" x14ac:dyDescent="0.25">
      <c r="A7184">
        <v>763</v>
      </c>
    </row>
    <row r="7185" spans="1:1" x14ac:dyDescent="0.25">
      <c r="A7185" t="s">
        <v>1952</v>
      </c>
    </row>
    <row r="7186" spans="1:1" x14ac:dyDescent="0.25">
      <c r="A7186" t="s">
        <v>1953</v>
      </c>
    </row>
    <row r="7187" spans="1:1" x14ac:dyDescent="0.25">
      <c r="A7187" t="s">
        <v>988</v>
      </c>
    </row>
    <row r="7188" spans="1:1" x14ac:dyDescent="0.25">
      <c r="A7188">
        <v>2964</v>
      </c>
    </row>
    <row r="7189" spans="1:1" x14ac:dyDescent="0.25">
      <c r="A7189">
        <v>222</v>
      </c>
    </row>
    <row r="7190" spans="1:1" x14ac:dyDescent="0.25">
      <c r="A7190">
        <v>195</v>
      </c>
    </row>
    <row r="7191" spans="1:1" x14ac:dyDescent="0.25">
      <c r="A7191">
        <v>176</v>
      </c>
    </row>
    <row r="7192" spans="1:1" x14ac:dyDescent="0.25">
      <c r="A7192">
        <v>7</v>
      </c>
    </row>
    <row r="7193" spans="1:1" x14ac:dyDescent="0.25">
      <c r="A7193">
        <v>764</v>
      </c>
    </row>
    <row r="7194" spans="1:1" x14ac:dyDescent="0.25">
      <c r="A7194" t="s">
        <v>1954</v>
      </c>
    </row>
    <row r="7195" spans="1:1" x14ac:dyDescent="0.25">
      <c r="A7195" t="s">
        <v>1955</v>
      </c>
    </row>
    <row r="7196" spans="1:1" x14ac:dyDescent="0.25">
      <c r="A7196" t="s">
        <v>860</v>
      </c>
    </row>
    <row r="7197" spans="1:1" x14ac:dyDescent="0.25">
      <c r="A7197">
        <v>2115</v>
      </c>
    </row>
    <row r="7198" spans="1:1" x14ac:dyDescent="0.25">
      <c r="A7198">
        <v>165</v>
      </c>
    </row>
    <row r="7199" spans="1:1" x14ac:dyDescent="0.25">
      <c r="A7199">
        <v>215</v>
      </c>
    </row>
    <row r="7200" spans="1:1" x14ac:dyDescent="0.25">
      <c r="A7200">
        <v>139</v>
      </c>
    </row>
    <row r="7201" spans="1:1" x14ac:dyDescent="0.25">
      <c r="A7201">
        <v>7</v>
      </c>
    </row>
    <row r="7202" spans="1:1" x14ac:dyDescent="0.25">
      <c r="A7202">
        <v>765</v>
      </c>
    </row>
    <row r="7203" spans="1:1" x14ac:dyDescent="0.25">
      <c r="A7203" t="s">
        <v>1956</v>
      </c>
    </row>
    <row r="7204" spans="1:1" x14ac:dyDescent="0.25">
      <c r="A7204" t="s">
        <v>1957</v>
      </c>
    </row>
    <row r="7205" spans="1:1" x14ac:dyDescent="0.25">
      <c r="A7205" t="s">
        <v>1099</v>
      </c>
    </row>
    <row r="7206" spans="1:1" x14ac:dyDescent="0.25">
      <c r="A7206">
        <v>2450</v>
      </c>
    </row>
    <row r="7207" spans="1:1" x14ac:dyDescent="0.25">
      <c r="A7207">
        <v>168</v>
      </c>
    </row>
    <row r="7208" spans="1:1" x14ac:dyDescent="0.25">
      <c r="A7208">
        <v>192</v>
      </c>
    </row>
    <row r="7209" spans="1:1" x14ac:dyDescent="0.25">
      <c r="A7209">
        <v>207</v>
      </c>
    </row>
    <row r="7210" spans="1:1" x14ac:dyDescent="0.25">
      <c r="A7210">
        <v>7</v>
      </c>
    </row>
    <row r="7211" spans="1:1" x14ac:dyDescent="0.25">
      <c r="A7211">
        <v>766</v>
      </c>
    </row>
    <row r="7212" spans="1:1" x14ac:dyDescent="0.25">
      <c r="A7212" t="s">
        <v>1958</v>
      </c>
    </row>
    <row r="7213" spans="1:1" x14ac:dyDescent="0.25">
      <c r="A7213" t="s">
        <v>1959</v>
      </c>
    </row>
    <row r="7214" spans="1:1" x14ac:dyDescent="0.25">
      <c r="A7214" t="s">
        <v>901</v>
      </c>
    </row>
    <row r="7215" spans="1:1" x14ac:dyDescent="0.25">
      <c r="A7215">
        <v>3033</v>
      </c>
    </row>
    <row r="7216" spans="1:1" x14ac:dyDescent="0.25">
      <c r="A7216">
        <v>222</v>
      </c>
    </row>
    <row r="7217" spans="1:1" x14ac:dyDescent="0.25">
      <c r="A7217">
        <v>160</v>
      </c>
    </row>
    <row r="7218" spans="1:1" x14ac:dyDescent="0.25">
      <c r="A7218">
        <v>225</v>
      </c>
    </row>
    <row r="7219" spans="1:1" x14ac:dyDescent="0.25">
      <c r="A7219">
        <v>7</v>
      </c>
    </row>
    <row r="7220" spans="1:1" x14ac:dyDescent="0.25">
      <c r="A7220">
        <v>767</v>
      </c>
    </row>
    <row r="7221" spans="1:1" x14ac:dyDescent="0.25">
      <c r="A7221" t="s">
        <v>1960</v>
      </c>
    </row>
    <row r="7222" spans="1:1" x14ac:dyDescent="0.25">
      <c r="A7222" t="s">
        <v>1961</v>
      </c>
    </row>
    <row r="7223" spans="1:1" x14ac:dyDescent="0.25">
      <c r="A7223" t="s">
        <v>1197</v>
      </c>
    </row>
    <row r="7224" spans="1:1" x14ac:dyDescent="0.25">
      <c r="A7224">
        <v>502</v>
      </c>
    </row>
    <row r="7225" spans="1:1" x14ac:dyDescent="0.25">
      <c r="A7225">
        <v>67</v>
      </c>
    </row>
    <row r="7226" spans="1:1" x14ac:dyDescent="0.25">
      <c r="A7226">
        <v>74</v>
      </c>
    </row>
    <row r="7227" spans="1:1" x14ac:dyDescent="0.25">
      <c r="A7227">
        <v>93</v>
      </c>
    </row>
    <row r="7228" spans="1:1" x14ac:dyDescent="0.25">
      <c r="A7228">
        <v>7</v>
      </c>
    </row>
    <row r="7229" spans="1:1" x14ac:dyDescent="0.25">
      <c r="A7229">
        <v>768</v>
      </c>
    </row>
    <row r="7230" spans="1:1" x14ac:dyDescent="0.25">
      <c r="A7230" t="s">
        <v>1962</v>
      </c>
    </row>
    <row r="7231" spans="1:1" x14ac:dyDescent="0.25">
      <c r="A7231" t="s">
        <v>1963</v>
      </c>
    </row>
    <row r="7232" spans="1:1" x14ac:dyDescent="0.25">
      <c r="A7232" t="s">
        <v>1197</v>
      </c>
    </row>
    <row r="7233" spans="1:1" x14ac:dyDescent="0.25">
      <c r="A7233">
        <v>3162</v>
      </c>
    </row>
    <row r="7234" spans="1:1" x14ac:dyDescent="0.25">
      <c r="A7234">
        <v>218</v>
      </c>
    </row>
    <row r="7235" spans="1:1" x14ac:dyDescent="0.25">
      <c r="A7235">
        <v>226</v>
      </c>
    </row>
    <row r="7236" spans="1:1" x14ac:dyDescent="0.25">
      <c r="A7236">
        <v>181</v>
      </c>
    </row>
    <row r="7237" spans="1:1" x14ac:dyDescent="0.25">
      <c r="A7237">
        <v>7</v>
      </c>
    </row>
    <row r="7238" spans="1:1" x14ac:dyDescent="0.25">
      <c r="A7238">
        <v>769</v>
      </c>
    </row>
    <row r="7239" spans="1:1" x14ac:dyDescent="0.25">
      <c r="A7239" t="s">
        <v>1964</v>
      </c>
    </row>
    <row r="7240" spans="1:1" x14ac:dyDescent="0.25">
      <c r="A7240" t="s">
        <v>1965</v>
      </c>
    </row>
    <row r="7241" spans="1:1" x14ac:dyDescent="0.25">
      <c r="A7241" t="s">
        <v>1966</v>
      </c>
    </row>
    <row r="7242" spans="1:1" x14ac:dyDescent="0.25">
      <c r="A7242">
        <v>1233</v>
      </c>
    </row>
    <row r="7243" spans="1:1" x14ac:dyDescent="0.25">
      <c r="A7243">
        <v>120</v>
      </c>
    </row>
    <row r="7244" spans="1:1" x14ac:dyDescent="0.25">
      <c r="A7244">
        <v>118</v>
      </c>
    </row>
    <row r="7245" spans="1:1" x14ac:dyDescent="0.25">
      <c r="A7245">
        <v>146</v>
      </c>
    </row>
    <row r="7246" spans="1:1" x14ac:dyDescent="0.25">
      <c r="A7246">
        <v>7</v>
      </c>
    </row>
    <row r="7247" spans="1:1" x14ac:dyDescent="0.25">
      <c r="A7247">
        <v>770</v>
      </c>
    </row>
    <row r="7248" spans="1:1" x14ac:dyDescent="0.25">
      <c r="A7248" t="s">
        <v>1967</v>
      </c>
    </row>
    <row r="7249" spans="1:1" x14ac:dyDescent="0.25">
      <c r="A7249" t="s">
        <v>1968</v>
      </c>
    </row>
    <row r="7250" spans="1:1" x14ac:dyDescent="0.25">
      <c r="A7250" t="s">
        <v>1966</v>
      </c>
    </row>
    <row r="7251" spans="1:1" x14ac:dyDescent="0.25">
      <c r="A7251">
        <v>2444</v>
      </c>
    </row>
    <row r="7252" spans="1:1" x14ac:dyDescent="0.25">
      <c r="A7252">
        <v>178</v>
      </c>
    </row>
    <row r="7253" spans="1:1" x14ac:dyDescent="0.25">
      <c r="A7253">
        <v>178</v>
      </c>
    </row>
    <row r="7254" spans="1:1" x14ac:dyDescent="0.25">
      <c r="A7254">
        <v>198</v>
      </c>
    </row>
    <row r="7255" spans="1:1" x14ac:dyDescent="0.25">
      <c r="A7255">
        <v>7</v>
      </c>
    </row>
    <row r="7256" spans="1:1" x14ac:dyDescent="0.25">
      <c r="A7256">
        <v>771</v>
      </c>
    </row>
    <row r="7257" spans="1:1" x14ac:dyDescent="0.25">
      <c r="A7257" t="s">
        <v>1969</v>
      </c>
    </row>
    <row r="7258" spans="1:1" x14ac:dyDescent="0.25">
      <c r="A7258" t="s">
        <v>1970</v>
      </c>
    </row>
    <row r="7259" spans="1:1" x14ac:dyDescent="0.25">
      <c r="A7259" t="s">
        <v>809</v>
      </c>
    </row>
    <row r="7260" spans="1:1" x14ac:dyDescent="0.25">
      <c r="A7260">
        <v>1372</v>
      </c>
    </row>
    <row r="7261" spans="1:1" x14ac:dyDescent="0.25">
      <c r="A7261">
        <v>97</v>
      </c>
    </row>
    <row r="7262" spans="1:1" x14ac:dyDescent="0.25">
      <c r="A7262">
        <v>224</v>
      </c>
    </row>
    <row r="7263" spans="1:1" x14ac:dyDescent="0.25">
      <c r="A7263">
        <v>146</v>
      </c>
    </row>
    <row r="7264" spans="1:1" x14ac:dyDescent="0.25">
      <c r="A7264">
        <v>7</v>
      </c>
    </row>
    <row r="7265" spans="1:1" x14ac:dyDescent="0.25">
      <c r="A7265">
        <v>772</v>
      </c>
    </row>
    <row r="7266" spans="1:1" x14ac:dyDescent="0.25">
      <c r="A7266" t="s">
        <v>1971</v>
      </c>
    </row>
    <row r="7267" spans="1:1" x14ac:dyDescent="0.25">
      <c r="A7267" t="s">
        <v>1972</v>
      </c>
    </row>
    <row r="7268" spans="1:1" x14ac:dyDescent="0.25">
      <c r="A7268" t="s">
        <v>826</v>
      </c>
    </row>
    <row r="7269" spans="1:1" x14ac:dyDescent="0.25">
      <c r="A7269">
        <v>2664</v>
      </c>
    </row>
    <row r="7270" spans="1:1" x14ac:dyDescent="0.25">
      <c r="A7270">
        <v>184</v>
      </c>
    </row>
    <row r="7271" spans="1:1" x14ac:dyDescent="0.25">
      <c r="A7271">
        <v>184</v>
      </c>
    </row>
    <row r="7272" spans="1:1" x14ac:dyDescent="0.25">
      <c r="A7272">
        <v>216</v>
      </c>
    </row>
    <row r="7273" spans="1:1" x14ac:dyDescent="0.25">
      <c r="A7273">
        <v>7</v>
      </c>
    </row>
    <row r="7274" spans="1:1" x14ac:dyDescent="0.25">
      <c r="A7274">
        <v>773</v>
      </c>
    </row>
    <row r="7275" spans="1:1" x14ac:dyDescent="0.25">
      <c r="A7275" t="s">
        <v>1973</v>
      </c>
    </row>
    <row r="7276" spans="1:1" x14ac:dyDescent="0.25">
      <c r="A7276" t="s">
        <v>1974</v>
      </c>
    </row>
    <row r="7277" spans="1:1" x14ac:dyDescent="0.25">
      <c r="A7277" t="s">
        <v>826</v>
      </c>
    </row>
    <row r="7278" spans="1:1" x14ac:dyDescent="0.25">
      <c r="A7278">
        <v>2950</v>
      </c>
    </row>
    <row r="7279" spans="1:1" x14ac:dyDescent="0.25">
      <c r="A7279">
        <v>198</v>
      </c>
    </row>
    <row r="7280" spans="1:1" x14ac:dyDescent="0.25">
      <c r="A7280">
        <v>198</v>
      </c>
    </row>
    <row r="7281" spans="1:1" x14ac:dyDescent="0.25">
      <c r="A7281">
        <v>216</v>
      </c>
    </row>
    <row r="7282" spans="1:1" x14ac:dyDescent="0.25">
      <c r="A7282">
        <v>7</v>
      </c>
    </row>
    <row r="7283" spans="1:1" x14ac:dyDescent="0.25">
      <c r="A7283">
        <v>774</v>
      </c>
    </row>
    <row r="7284" spans="1:1" x14ac:dyDescent="0.25">
      <c r="A7284" t="s">
        <v>1975</v>
      </c>
    </row>
    <row r="7285" spans="1:1" x14ac:dyDescent="0.25">
      <c r="A7285" t="s">
        <v>1976</v>
      </c>
    </row>
    <row r="7286" spans="1:1" x14ac:dyDescent="0.25">
      <c r="A7286" t="s">
        <v>1022</v>
      </c>
    </row>
    <row r="7287" spans="1:1" x14ac:dyDescent="0.25">
      <c r="A7287">
        <v>1542</v>
      </c>
    </row>
    <row r="7288" spans="1:1" x14ac:dyDescent="0.25">
      <c r="A7288">
        <v>116</v>
      </c>
    </row>
    <row r="7289" spans="1:1" x14ac:dyDescent="0.25">
      <c r="A7289">
        <v>194</v>
      </c>
    </row>
    <row r="7290" spans="1:1" x14ac:dyDescent="0.25">
      <c r="A7290">
        <v>155</v>
      </c>
    </row>
    <row r="7291" spans="1:1" x14ac:dyDescent="0.25">
      <c r="A7291">
        <v>7</v>
      </c>
    </row>
    <row r="7292" spans="1:1" x14ac:dyDescent="0.25">
      <c r="A7292">
        <v>775</v>
      </c>
    </row>
    <row r="7293" spans="1:1" x14ac:dyDescent="0.25">
      <c r="A7293" t="s">
        <v>1977</v>
      </c>
    </row>
    <row r="7294" spans="1:1" x14ac:dyDescent="0.25">
      <c r="A7294" t="s">
        <v>1978</v>
      </c>
    </row>
    <row r="7295" spans="1:1" x14ac:dyDescent="0.25">
      <c r="A7295" t="s">
        <v>826</v>
      </c>
    </row>
    <row r="7296" spans="1:1" x14ac:dyDescent="0.25">
      <c r="A7296">
        <v>2582</v>
      </c>
    </row>
    <row r="7297" spans="1:1" x14ac:dyDescent="0.25">
      <c r="A7297">
        <v>216</v>
      </c>
    </row>
    <row r="7298" spans="1:1" x14ac:dyDescent="0.25">
      <c r="A7298">
        <v>165</v>
      </c>
    </row>
    <row r="7299" spans="1:1" x14ac:dyDescent="0.25">
      <c r="A7299">
        <v>163</v>
      </c>
    </row>
    <row r="7300" spans="1:1" x14ac:dyDescent="0.25">
      <c r="A7300">
        <v>7</v>
      </c>
    </row>
    <row r="7301" spans="1:1" x14ac:dyDescent="0.25">
      <c r="A7301">
        <v>776</v>
      </c>
    </row>
    <row r="7302" spans="1:1" x14ac:dyDescent="0.25">
      <c r="A7302" t="s">
        <v>1979</v>
      </c>
    </row>
    <row r="7303" spans="1:1" x14ac:dyDescent="0.25">
      <c r="A7303" t="s">
        <v>1980</v>
      </c>
    </row>
    <row r="7304" spans="1:1" x14ac:dyDescent="0.25">
      <c r="A7304" t="s">
        <v>1981</v>
      </c>
    </row>
    <row r="7305" spans="1:1" x14ac:dyDescent="0.25">
      <c r="A7305">
        <v>2223</v>
      </c>
    </row>
    <row r="7306" spans="1:1" x14ac:dyDescent="0.25">
      <c r="A7306">
        <v>165</v>
      </c>
    </row>
    <row r="7307" spans="1:1" x14ac:dyDescent="0.25">
      <c r="A7307">
        <v>215</v>
      </c>
    </row>
    <row r="7308" spans="1:1" x14ac:dyDescent="0.25">
      <c r="A7308">
        <v>155</v>
      </c>
    </row>
    <row r="7309" spans="1:1" x14ac:dyDescent="0.25">
      <c r="A7309">
        <v>7</v>
      </c>
    </row>
    <row r="7310" spans="1:1" x14ac:dyDescent="0.25">
      <c r="A7310">
        <v>777</v>
      </c>
    </row>
    <row r="7311" spans="1:1" x14ac:dyDescent="0.25">
      <c r="A7311" t="s">
        <v>1982</v>
      </c>
    </row>
    <row r="7312" spans="1:1" x14ac:dyDescent="0.25">
      <c r="A7312" t="s">
        <v>1983</v>
      </c>
    </row>
    <row r="7313" spans="1:1" x14ac:dyDescent="0.25">
      <c r="A7313" t="s">
        <v>939</v>
      </c>
    </row>
    <row r="7314" spans="1:1" x14ac:dyDescent="0.25">
      <c r="A7314">
        <v>2160</v>
      </c>
    </row>
    <row r="7315" spans="1:1" x14ac:dyDescent="0.25">
      <c r="A7315">
        <v>190</v>
      </c>
    </row>
    <row r="7316" spans="1:1" x14ac:dyDescent="0.25">
      <c r="A7316">
        <v>145</v>
      </c>
    </row>
    <row r="7317" spans="1:1" x14ac:dyDescent="0.25">
      <c r="A7317">
        <v>163</v>
      </c>
    </row>
    <row r="7318" spans="1:1" x14ac:dyDescent="0.25">
      <c r="A7318">
        <v>7</v>
      </c>
    </row>
    <row r="7319" spans="1:1" x14ac:dyDescent="0.25">
      <c r="A7319">
        <v>778</v>
      </c>
    </row>
    <row r="7320" spans="1:1" x14ac:dyDescent="0.25">
      <c r="A7320" t="s">
        <v>1984</v>
      </c>
    </row>
    <row r="7321" spans="1:1" x14ac:dyDescent="0.25">
      <c r="A7321" t="s">
        <v>1985</v>
      </c>
    </row>
    <row r="7322" spans="1:1" x14ac:dyDescent="0.25">
      <c r="A7322" t="s">
        <v>1986</v>
      </c>
    </row>
    <row r="7323" spans="1:1" x14ac:dyDescent="0.25">
      <c r="A7323">
        <v>2225</v>
      </c>
    </row>
    <row r="7324" spans="1:1" x14ac:dyDescent="0.25">
      <c r="A7324">
        <v>177</v>
      </c>
    </row>
    <row r="7325" spans="1:1" x14ac:dyDescent="0.25">
      <c r="A7325">
        <v>199</v>
      </c>
    </row>
    <row r="7326" spans="1:1" x14ac:dyDescent="0.25">
      <c r="A7326">
        <v>146</v>
      </c>
    </row>
    <row r="7327" spans="1:1" x14ac:dyDescent="0.25">
      <c r="A7327">
        <v>7</v>
      </c>
    </row>
    <row r="7328" spans="1:1" x14ac:dyDescent="0.25">
      <c r="A7328">
        <v>779</v>
      </c>
    </row>
    <row r="7329" spans="1:1" x14ac:dyDescent="0.25">
      <c r="A7329" t="s">
        <v>1987</v>
      </c>
    </row>
    <row r="7330" spans="1:1" x14ac:dyDescent="0.25">
      <c r="A7330" t="s">
        <v>1988</v>
      </c>
    </row>
    <row r="7331" spans="1:1" x14ac:dyDescent="0.25">
      <c r="A7331" t="s">
        <v>936</v>
      </c>
    </row>
    <row r="7332" spans="1:1" x14ac:dyDescent="0.25">
      <c r="A7332">
        <v>2389</v>
      </c>
    </row>
    <row r="7333" spans="1:1" x14ac:dyDescent="0.25">
      <c r="A7333">
        <v>208</v>
      </c>
    </row>
    <row r="7334" spans="1:1" x14ac:dyDescent="0.25">
      <c r="A7334">
        <v>145</v>
      </c>
    </row>
    <row r="7335" spans="1:1" x14ac:dyDescent="0.25">
      <c r="A7335">
        <v>169</v>
      </c>
    </row>
    <row r="7336" spans="1:1" x14ac:dyDescent="0.25">
      <c r="A7336">
        <v>7</v>
      </c>
    </row>
    <row r="7337" spans="1:1" x14ac:dyDescent="0.25">
      <c r="A7337">
        <v>780</v>
      </c>
    </row>
    <row r="7338" spans="1:1" x14ac:dyDescent="0.25">
      <c r="A7338" t="s">
        <v>1989</v>
      </c>
    </row>
    <row r="7339" spans="1:1" x14ac:dyDescent="0.25">
      <c r="A7339" t="s">
        <v>1990</v>
      </c>
    </row>
    <row r="7340" spans="1:1" x14ac:dyDescent="0.25">
      <c r="A7340" t="s">
        <v>1991</v>
      </c>
    </row>
    <row r="7341" spans="1:1" x14ac:dyDescent="0.25">
      <c r="A7341">
        <v>2914</v>
      </c>
    </row>
    <row r="7342" spans="1:1" x14ac:dyDescent="0.25">
      <c r="A7342">
        <v>231</v>
      </c>
    </row>
    <row r="7343" spans="1:1" x14ac:dyDescent="0.25">
      <c r="A7343">
        <v>164</v>
      </c>
    </row>
    <row r="7344" spans="1:1" x14ac:dyDescent="0.25">
      <c r="A7344">
        <v>186</v>
      </c>
    </row>
    <row r="7345" spans="1:1" x14ac:dyDescent="0.25">
      <c r="A7345">
        <v>7</v>
      </c>
    </row>
    <row r="7346" spans="1:1" x14ac:dyDescent="0.25">
      <c r="A7346">
        <v>781</v>
      </c>
    </row>
    <row r="7347" spans="1:1" x14ac:dyDescent="0.25">
      <c r="A7347" t="s">
        <v>1992</v>
      </c>
    </row>
    <row r="7348" spans="1:1" x14ac:dyDescent="0.25">
      <c r="A7348" t="s">
        <v>1993</v>
      </c>
    </row>
    <row r="7349" spans="1:1" x14ac:dyDescent="0.25">
      <c r="A7349" t="s">
        <v>1834</v>
      </c>
    </row>
    <row r="7350" spans="1:1" x14ac:dyDescent="0.25">
      <c r="A7350">
        <v>2950</v>
      </c>
    </row>
    <row r="7351" spans="1:1" x14ac:dyDescent="0.25">
      <c r="A7351">
        <v>233</v>
      </c>
    </row>
    <row r="7352" spans="1:1" x14ac:dyDescent="0.25">
      <c r="A7352">
        <v>179</v>
      </c>
    </row>
    <row r="7353" spans="1:1" x14ac:dyDescent="0.25">
      <c r="A7353">
        <v>172</v>
      </c>
    </row>
    <row r="7354" spans="1:1" x14ac:dyDescent="0.25">
      <c r="A7354">
        <v>7</v>
      </c>
    </row>
    <row r="7355" spans="1:1" x14ac:dyDescent="0.25">
      <c r="A7355">
        <v>782</v>
      </c>
    </row>
    <row r="7356" spans="1:1" x14ac:dyDescent="0.25">
      <c r="A7356" t="s">
        <v>1994</v>
      </c>
    </row>
    <row r="7357" spans="1:1" x14ac:dyDescent="0.25">
      <c r="A7357" t="s">
        <v>1995</v>
      </c>
    </row>
    <row r="7358" spans="1:1" x14ac:dyDescent="0.25">
      <c r="A7358" t="s">
        <v>1030</v>
      </c>
    </row>
    <row r="7359" spans="1:1" x14ac:dyDescent="0.25">
      <c r="A7359">
        <v>969</v>
      </c>
    </row>
    <row r="7360" spans="1:1" x14ac:dyDescent="0.25">
      <c r="A7360">
        <v>102</v>
      </c>
    </row>
    <row r="7361" spans="1:1" x14ac:dyDescent="0.25">
      <c r="A7361">
        <v>108</v>
      </c>
    </row>
    <row r="7362" spans="1:1" x14ac:dyDescent="0.25">
      <c r="A7362">
        <v>128</v>
      </c>
    </row>
    <row r="7363" spans="1:1" x14ac:dyDescent="0.25">
      <c r="A7363">
        <v>7</v>
      </c>
    </row>
    <row r="7364" spans="1:1" x14ac:dyDescent="0.25">
      <c r="A7364">
        <v>783</v>
      </c>
    </row>
    <row r="7365" spans="1:1" x14ac:dyDescent="0.25">
      <c r="A7365" t="s">
        <v>1996</v>
      </c>
    </row>
    <row r="7366" spans="1:1" x14ac:dyDescent="0.25">
      <c r="A7366" t="s">
        <v>1997</v>
      </c>
    </row>
    <row r="7367" spans="1:1" x14ac:dyDescent="0.25">
      <c r="A7367" t="s">
        <v>1998</v>
      </c>
    </row>
    <row r="7368" spans="1:1" x14ac:dyDescent="0.25">
      <c r="A7368">
        <v>1686</v>
      </c>
    </row>
    <row r="7369" spans="1:1" x14ac:dyDescent="0.25">
      <c r="A7369">
        <v>145</v>
      </c>
    </row>
    <row r="7370" spans="1:1" x14ac:dyDescent="0.25">
      <c r="A7370">
        <v>162</v>
      </c>
    </row>
    <row r="7371" spans="1:1" x14ac:dyDescent="0.25">
      <c r="A7371">
        <v>146</v>
      </c>
    </row>
    <row r="7372" spans="1:1" x14ac:dyDescent="0.25">
      <c r="A7372">
        <v>7</v>
      </c>
    </row>
    <row r="7373" spans="1:1" x14ac:dyDescent="0.25">
      <c r="A7373">
        <v>784</v>
      </c>
    </row>
    <row r="7374" spans="1:1" x14ac:dyDescent="0.25">
      <c r="A7374" t="s">
        <v>1999</v>
      </c>
    </row>
    <row r="7375" spans="1:1" x14ac:dyDescent="0.25">
      <c r="A7375" t="s">
        <v>2000</v>
      </c>
    </row>
    <row r="7376" spans="1:1" x14ac:dyDescent="0.25">
      <c r="A7376" t="s">
        <v>1998</v>
      </c>
    </row>
    <row r="7377" spans="1:1" x14ac:dyDescent="0.25">
      <c r="A7377">
        <v>3309</v>
      </c>
    </row>
    <row r="7378" spans="1:1" x14ac:dyDescent="0.25">
      <c r="A7378">
        <v>222</v>
      </c>
    </row>
    <row r="7379" spans="1:1" x14ac:dyDescent="0.25">
      <c r="A7379">
        <v>240</v>
      </c>
    </row>
    <row r="7380" spans="1:1" x14ac:dyDescent="0.25">
      <c r="A7380">
        <v>181</v>
      </c>
    </row>
    <row r="7381" spans="1:1" x14ac:dyDescent="0.25">
      <c r="A7381">
        <v>7</v>
      </c>
    </row>
    <row r="7382" spans="1:1" x14ac:dyDescent="0.25">
      <c r="A7382">
        <v>785</v>
      </c>
    </row>
    <row r="7383" spans="1:1" x14ac:dyDescent="0.25">
      <c r="A7383" t="s">
        <v>2001</v>
      </c>
    </row>
    <row r="7384" spans="1:1" x14ac:dyDescent="0.25">
      <c r="A7384" t="s">
        <v>2002</v>
      </c>
    </row>
    <row r="7385" spans="1:1" x14ac:dyDescent="0.25">
      <c r="A7385" t="s">
        <v>1820</v>
      </c>
    </row>
    <row r="7386" spans="1:1" x14ac:dyDescent="0.25">
      <c r="A7386">
        <v>3168</v>
      </c>
    </row>
    <row r="7387" spans="1:1" x14ac:dyDescent="0.25">
      <c r="A7387">
        <v>250</v>
      </c>
    </row>
    <row r="7388" spans="1:1" x14ac:dyDescent="0.25">
      <c r="A7388">
        <v>181</v>
      </c>
    </row>
    <row r="7389" spans="1:1" x14ac:dyDescent="0.25">
      <c r="A7389">
        <v>172</v>
      </c>
    </row>
    <row r="7390" spans="1:1" x14ac:dyDescent="0.25">
      <c r="A7390">
        <v>7</v>
      </c>
    </row>
    <row r="7391" spans="1:1" x14ac:dyDescent="0.25">
      <c r="A7391">
        <v>786</v>
      </c>
    </row>
    <row r="7392" spans="1:1" x14ac:dyDescent="0.25">
      <c r="A7392" t="s">
        <v>2003</v>
      </c>
    </row>
    <row r="7393" spans="1:1" x14ac:dyDescent="0.25">
      <c r="A7393" t="s">
        <v>2004</v>
      </c>
    </row>
    <row r="7394" spans="1:1" x14ac:dyDescent="0.25">
      <c r="A7394" t="s">
        <v>997</v>
      </c>
    </row>
    <row r="7395" spans="1:1" x14ac:dyDescent="0.25">
      <c r="A7395">
        <v>3494</v>
      </c>
    </row>
    <row r="7396" spans="1:1" x14ac:dyDescent="0.25">
      <c r="A7396">
        <v>259</v>
      </c>
    </row>
    <row r="7397" spans="1:1" x14ac:dyDescent="0.25">
      <c r="A7397">
        <v>208</v>
      </c>
    </row>
    <row r="7398" spans="1:1" x14ac:dyDescent="0.25">
      <c r="A7398">
        <v>172</v>
      </c>
    </row>
    <row r="7399" spans="1:1" x14ac:dyDescent="0.25">
      <c r="A7399">
        <v>7</v>
      </c>
    </row>
    <row r="7400" spans="1:1" x14ac:dyDescent="0.25">
      <c r="A7400">
        <v>787</v>
      </c>
    </row>
    <row r="7401" spans="1:1" x14ac:dyDescent="0.25">
      <c r="A7401" t="s">
        <v>2005</v>
      </c>
    </row>
    <row r="7402" spans="1:1" x14ac:dyDescent="0.25">
      <c r="A7402" t="s">
        <v>2006</v>
      </c>
    </row>
    <row r="7403" spans="1:1" x14ac:dyDescent="0.25">
      <c r="A7403" t="s">
        <v>1543</v>
      </c>
    </row>
    <row r="7404" spans="1:1" x14ac:dyDescent="0.25">
      <c r="A7404">
        <v>3419</v>
      </c>
    </row>
    <row r="7405" spans="1:1" x14ac:dyDescent="0.25">
      <c r="A7405">
        <v>249</v>
      </c>
    </row>
    <row r="7406" spans="1:1" x14ac:dyDescent="0.25">
      <c r="A7406">
        <v>215</v>
      </c>
    </row>
    <row r="7407" spans="1:1" x14ac:dyDescent="0.25">
      <c r="A7407">
        <v>172</v>
      </c>
    </row>
    <row r="7408" spans="1:1" x14ac:dyDescent="0.25">
      <c r="A7408">
        <v>7</v>
      </c>
    </row>
    <row r="7409" spans="1:1" x14ac:dyDescent="0.25">
      <c r="A7409">
        <v>788</v>
      </c>
    </row>
    <row r="7410" spans="1:1" x14ac:dyDescent="0.25">
      <c r="A7410" t="s">
        <v>2007</v>
      </c>
    </row>
    <row r="7411" spans="1:1" x14ac:dyDescent="0.25">
      <c r="A7411" t="s">
        <v>2008</v>
      </c>
    </row>
    <row r="7412" spans="1:1" x14ac:dyDescent="0.25">
      <c r="A7412" t="s">
        <v>1073</v>
      </c>
    </row>
    <row r="7413" spans="1:1" x14ac:dyDescent="0.25">
      <c r="A7413">
        <v>2857</v>
      </c>
    </row>
    <row r="7414" spans="1:1" x14ac:dyDescent="0.25">
      <c r="A7414">
        <v>189</v>
      </c>
    </row>
    <row r="7415" spans="1:1" x14ac:dyDescent="0.25">
      <c r="A7415">
        <v>254</v>
      </c>
    </row>
    <row r="7416" spans="1:1" x14ac:dyDescent="0.25">
      <c r="A7416">
        <v>172</v>
      </c>
    </row>
    <row r="7417" spans="1:1" x14ac:dyDescent="0.25">
      <c r="A7417">
        <v>7</v>
      </c>
    </row>
    <row r="7418" spans="1:1" x14ac:dyDescent="0.25">
      <c r="A7418">
        <v>789</v>
      </c>
    </row>
    <row r="7419" spans="1:1" x14ac:dyDescent="0.25">
      <c r="A7419" t="s">
        <v>2009</v>
      </c>
    </row>
    <row r="7420" spans="1:1" x14ac:dyDescent="0.25">
      <c r="A7420" t="s">
        <v>2010</v>
      </c>
    </row>
    <row r="7421" spans="1:1" x14ac:dyDescent="0.25">
      <c r="A7421" t="s">
        <v>910</v>
      </c>
    </row>
    <row r="7422" spans="1:1" x14ac:dyDescent="0.25">
      <c r="A7422">
        <v>432</v>
      </c>
    </row>
    <row r="7423" spans="1:1" x14ac:dyDescent="0.25">
      <c r="A7423">
        <v>54</v>
      </c>
    </row>
    <row r="7424" spans="1:1" x14ac:dyDescent="0.25">
      <c r="A7424">
        <v>57</v>
      </c>
    </row>
    <row r="7425" spans="1:1" x14ac:dyDescent="0.25">
      <c r="A7425">
        <v>125</v>
      </c>
    </row>
    <row r="7426" spans="1:1" x14ac:dyDescent="0.25">
      <c r="A7426">
        <v>7</v>
      </c>
    </row>
    <row r="7427" spans="1:1" x14ac:dyDescent="0.25">
      <c r="A7427">
        <v>790</v>
      </c>
    </row>
    <row r="7428" spans="1:1" x14ac:dyDescent="0.25">
      <c r="A7428" t="s">
        <v>2011</v>
      </c>
    </row>
    <row r="7429" spans="1:1" x14ac:dyDescent="0.25">
      <c r="A7429" t="s">
        <v>2012</v>
      </c>
    </row>
    <row r="7430" spans="1:1" x14ac:dyDescent="0.25">
      <c r="A7430" t="s">
        <v>910</v>
      </c>
    </row>
    <row r="7431" spans="1:1" x14ac:dyDescent="0.25">
      <c r="A7431">
        <v>817</v>
      </c>
    </row>
    <row r="7432" spans="1:1" x14ac:dyDescent="0.25">
      <c r="A7432">
        <v>54</v>
      </c>
    </row>
    <row r="7433" spans="1:1" x14ac:dyDescent="0.25">
      <c r="A7433">
        <v>242</v>
      </c>
    </row>
    <row r="7434" spans="1:1" x14ac:dyDescent="0.25">
      <c r="A7434">
        <v>125</v>
      </c>
    </row>
    <row r="7435" spans="1:1" x14ac:dyDescent="0.25">
      <c r="A7435">
        <v>7</v>
      </c>
    </row>
    <row r="7436" spans="1:1" x14ac:dyDescent="0.25">
      <c r="A7436">
        <v>791</v>
      </c>
    </row>
    <row r="7437" spans="1:1" x14ac:dyDescent="0.25">
      <c r="A7437" t="s">
        <v>2013</v>
      </c>
    </row>
    <row r="7438" spans="1:1" x14ac:dyDescent="0.25">
      <c r="A7438" t="s">
        <v>2014</v>
      </c>
    </row>
    <row r="7439" spans="1:1" x14ac:dyDescent="0.25">
      <c r="A7439" t="s">
        <v>2015</v>
      </c>
    </row>
    <row r="7440" spans="1:1" x14ac:dyDescent="0.25">
      <c r="A7440">
        <v>4818</v>
      </c>
    </row>
    <row r="7441" spans="1:1" x14ac:dyDescent="0.25">
      <c r="A7441">
        <v>280</v>
      </c>
    </row>
    <row r="7442" spans="1:1" x14ac:dyDescent="0.25">
      <c r="A7442">
        <v>210</v>
      </c>
    </row>
    <row r="7443" spans="1:1" x14ac:dyDescent="0.25">
      <c r="A7443">
        <v>289</v>
      </c>
    </row>
    <row r="7444" spans="1:1" x14ac:dyDescent="0.25">
      <c r="A7444">
        <v>7</v>
      </c>
    </row>
    <row r="7445" spans="1:1" x14ac:dyDescent="0.25">
      <c r="A7445">
        <v>792</v>
      </c>
    </row>
    <row r="7446" spans="1:1" x14ac:dyDescent="0.25">
      <c r="A7446" t="s">
        <v>2016</v>
      </c>
    </row>
    <row r="7447" spans="1:1" x14ac:dyDescent="0.25">
      <c r="A7447" t="s">
        <v>2017</v>
      </c>
    </row>
    <row r="7448" spans="1:1" x14ac:dyDescent="0.25">
      <c r="A7448" t="s">
        <v>1860</v>
      </c>
    </row>
    <row r="7449" spans="1:1" x14ac:dyDescent="0.25">
      <c r="A7449">
        <v>4818</v>
      </c>
    </row>
    <row r="7450" spans="1:1" x14ac:dyDescent="0.25">
      <c r="A7450">
        <v>280</v>
      </c>
    </row>
    <row r="7451" spans="1:1" x14ac:dyDescent="0.25">
      <c r="A7451">
        <v>210</v>
      </c>
    </row>
    <row r="7452" spans="1:1" x14ac:dyDescent="0.25">
      <c r="A7452">
        <v>289</v>
      </c>
    </row>
    <row r="7453" spans="1:1" x14ac:dyDescent="0.25">
      <c r="A7453">
        <v>7</v>
      </c>
    </row>
    <row r="7454" spans="1:1" x14ac:dyDescent="0.25">
      <c r="A7454">
        <v>793</v>
      </c>
    </row>
    <row r="7455" spans="1:1" x14ac:dyDescent="0.25">
      <c r="A7455" t="s">
        <v>2018</v>
      </c>
    </row>
    <row r="7456" spans="1:1" x14ac:dyDescent="0.25">
      <c r="A7456" t="s">
        <v>2019</v>
      </c>
    </row>
    <row r="7457" spans="1:1" x14ac:dyDescent="0.25">
      <c r="A7457" t="s">
        <v>2020</v>
      </c>
    </row>
    <row r="7458" spans="1:1" x14ac:dyDescent="0.25">
      <c r="A7458">
        <v>3949</v>
      </c>
    </row>
    <row r="7459" spans="1:1" x14ac:dyDescent="0.25">
      <c r="A7459">
        <v>249</v>
      </c>
    </row>
    <row r="7460" spans="1:1" x14ac:dyDescent="0.25">
      <c r="A7460">
        <v>210</v>
      </c>
    </row>
    <row r="7461" spans="1:1" x14ac:dyDescent="0.25">
      <c r="A7461">
        <v>240</v>
      </c>
    </row>
    <row r="7462" spans="1:1" x14ac:dyDescent="0.25">
      <c r="A7462">
        <v>7</v>
      </c>
    </row>
    <row r="7463" spans="1:1" x14ac:dyDescent="0.25">
      <c r="A7463">
        <v>794</v>
      </c>
    </row>
    <row r="7464" spans="1:1" x14ac:dyDescent="0.25">
      <c r="A7464" t="s">
        <v>2021</v>
      </c>
    </row>
    <row r="7465" spans="1:1" x14ac:dyDescent="0.25">
      <c r="A7465" t="s">
        <v>2022</v>
      </c>
    </row>
    <row r="7466" spans="1:1" x14ac:dyDescent="0.25">
      <c r="A7466" t="s">
        <v>1115</v>
      </c>
    </row>
    <row r="7467" spans="1:1" x14ac:dyDescent="0.25">
      <c r="A7467">
        <v>4128</v>
      </c>
    </row>
    <row r="7468" spans="1:1" x14ac:dyDescent="0.25">
      <c r="A7468">
        <v>259</v>
      </c>
    </row>
    <row r="7469" spans="1:1" x14ac:dyDescent="0.25">
      <c r="A7469">
        <v>216</v>
      </c>
    </row>
    <row r="7470" spans="1:1" x14ac:dyDescent="0.25">
      <c r="A7470">
        <v>237</v>
      </c>
    </row>
    <row r="7471" spans="1:1" x14ac:dyDescent="0.25">
      <c r="A7471">
        <v>7</v>
      </c>
    </row>
    <row r="7472" spans="1:1" x14ac:dyDescent="0.25">
      <c r="A7472">
        <v>795</v>
      </c>
    </row>
    <row r="7473" spans="1:1" x14ac:dyDescent="0.25">
      <c r="A7473" t="s">
        <v>2023</v>
      </c>
    </row>
    <row r="7474" spans="1:1" x14ac:dyDescent="0.25">
      <c r="A7474" t="s">
        <v>2024</v>
      </c>
    </row>
    <row r="7475" spans="1:1" x14ac:dyDescent="0.25">
      <c r="A7475" t="s">
        <v>1115</v>
      </c>
    </row>
    <row r="7476" spans="1:1" x14ac:dyDescent="0.25">
      <c r="A7476">
        <v>2842</v>
      </c>
    </row>
    <row r="7477" spans="1:1" x14ac:dyDescent="0.25">
      <c r="A7477">
        <v>316</v>
      </c>
    </row>
    <row r="7478" spans="1:1" x14ac:dyDescent="0.25">
      <c r="A7478">
        <v>85</v>
      </c>
    </row>
    <row r="7479" spans="1:1" x14ac:dyDescent="0.25">
      <c r="A7479">
        <v>174</v>
      </c>
    </row>
    <row r="7480" spans="1:1" x14ac:dyDescent="0.25">
      <c r="A7480">
        <v>7</v>
      </c>
    </row>
    <row r="7481" spans="1:1" x14ac:dyDescent="0.25">
      <c r="A7481">
        <v>796</v>
      </c>
    </row>
    <row r="7482" spans="1:1" x14ac:dyDescent="0.25">
      <c r="A7482" t="s">
        <v>2025</v>
      </c>
    </row>
    <row r="7483" spans="1:1" x14ac:dyDescent="0.25">
      <c r="A7483" t="s">
        <v>2026</v>
      </c>
    </row>
    <row r="7484" spans="1:1" x14ac:dyDescent="0.25">
      <c r="A7484" t="s">
        <v>839</v>
      </c>
    </row>
    <row r="7485" spans="1:1" x14ac:dyDescent="0.25">
      <c r="A7485">
        <v>3937</v>
      </c>
    </row>
    <row r="7486" spans="1:1" x14ac:dyDescent="0.25">
      <c r="A7486">
        <v>330</v>
      </c>
    </row>
    <row r="7487" spans="1:1" x14ac:dyDescent="0.25">
      <c r="A7487">
        <v>144</v>
      </c>
    </row>
    <row r="7488" spans="1:1" x14ac:dyDescent="0.25">
      <c r="A7488">
        <v>195</v>
      </c>
    </row>
    <row r="7489" spans="1:1" x14ac:dyDescent="0.25">
      <c r="A7489">
        <v>7</v>
      </c>
    </row>
    <row r="7490" spans="1:1" x14ac:dyDescent="0.25">
      <c r="A7490">
        <v>797</v>
      </c>
    </row>
    <row r="7491" spans="1:1" x14ac:dyDescent="0.25">
      <c r="A7491" t="s">
        <v>2027</v>
      </c>
    </row>
    <row r="7492" spans="1:1" x14ac:dyDescent="0.25">
      <c r="A7492" t="s">
        <v>2028</v>
      </c>
    </row>
    <row r="7493" spans="1:1" x14ac:dyDescent="0.25">
      <c r="A7493" t="s">
        <v>1133</v>
      </c>
    </row>
    <row r="7494" spans="1:1" x14ac:dyDescent="0.25">
      <c r="A7494">
        <v>3102</v>
      </c>
    </row>
    <row r="7495" spans="1:1" x14ac:dyDescent="0.25">
      <c r="A7495">
        <v>207</v>
      </c>
    </row>
    <row r="7496" spans="1:1" x14ac:dyDescent="0.25">
      <c r="A7496">
        <v>199</v>
      </c>
    </row>
    <row r="7497" spans="1:1" x14ac:dyDescent="0.25">
      <c r="A7497">
        <v>219</v>
      </c>
    </row>
    <row r="7498" spans="1:1" x14ac:dyDescent="0.25">
      <c r="A7498">
        <v>7</v>
      </c>
    </row>
    <row r="7499" spans="1:1" x14ac:dyDescent="0.25">
      <c r="A7499">
        <v>798</v>
      </c>
    </row>
    <row r="7500" spans="1:1" x14ac:dyDescent="0.25">
      <c r="A7500" t="s">
        <v>2029</v>
      </c>
    </row>
    <row r="7501" spans="1:1" x14ac:dyDescent="0.25">
      <c r="A7501" t="s">
        <v>2030</v>
      </c>
    </row>
    <row r="7502" spans="1:1" x14ac:dyDescent="0.25">
      <c r="A7502" t="s">
        <v>1614</v>
      </c>
    </row>
    <row r="7503" spans="1:1" x14ac:dyDescent="0.25">
      <c r="A7503">
        <v>4391</v>
      </c>
    </row>
    <row r="7504" spans="1:1" x14ac:dyDescent="0.25">
      <c r="A7504">
        <v>355</v>
      </c>
    </row>
    <row r="7505" spans="1:1" x14ac:dyDescent="0.25">
      <c r="A7505">
        <v>200</v>
      </c>
    </row>
    <row r="7506" spans="1:1" x14ac:dyDescent="0.25">
      <c r="A7506">
        <v>153</v>
      </c>
    </row>
    <row r="7507" spans="1:1" x14ac:dyDescent="0.25">
      <c r="A7507">
        <v>7</v>
      </c>
    </row>
    <row r="7508" spans="1:1" x14ac:dyDescent="0.25">
      <c r="A7508">
        <v>799</v>
      </c>
    </row>
    <row r="7509" spans="1:1" x14ac:dyDescent="0.25">
      <c r="A7509" t="s">
        <v>2031</v>
      </c>
    </row>
    <row r="7510" spans="1:1" x14ac:dyDescent="0.25">
      <c r="A7510" t="s">
        <v>2032</v>
      </c>
    </row>
    <row r="7511" spans="1:1" x14ac:dyDescent="0.25">
      <c r="A7511" t="s">
        <v>1655</v>
      </c>
    </row>
    <row r="7512" spans="1:1" x14ac:dyDescent="0.25">
      <c r="A7512">
        <v>2887</v>
      </c>
    </row>
    <row r="7513" spans="1:1" x14ac:dyDescent="0.25">
      <c r="A7513">
        <v>188</v>
      </c>
    </row>
    <row r="7514" spans="1:1" x14ac:dyDescent="0.25">
      <c r="A7514">
        <v>99</v>
      </c>
    </row>
    <row r="7515" spans="1:1" x14ac:dyDescent="0.25">
      <c r="A7515">
        <v>440</v>
      </c>
    </row>
    <row r="7516" spans="1:1" x14ac:dyDescent="0.25">
      <c r="A7516">
        <v>7</v>
      </c>
    </row>
    <row r="7517" spans="1:1" x14ac:dyDescent="0.25">
      <c r="A7517">
        <v>800</v>
      </c>
    </row>
    <row r="7518" spans="1:1" x14ac:dyDescent="0.25">
      <c r="A7518" t="s">
        <v>2033</v>
      </c>
    </row>
    <row r="7519" spans="1:1" x14ac:dyDescent="0.25">
      <c r="A7519" t="s">
        <v>2034</v>
      </c>
    </row>
    <row r="7520" spans="1:1" x14ac:dyDescent="0.25">
      <c r="A7520" t="s">
        <v>910</v>
      </c>
    </row>
    <row r="7521" spans="1:1" x14ac:dyDescent="0.25">
      <c r="A7521">
        <v>3682</v>
      </c>
    </row>
    <row r="7522" spans="1:1" x14ac:dyDescent="0.25">
      <c r="A7522">
        <v>251</v>
      </c>
    </row>
    <row r="7523" spans="1:1" x14ac:dyDescent="0.25">
      <c r="A7523">
        <v>195</v>
      </c>
    </row>
    <row r="7524" spans="1:1" x14ac:dyDescent="0.25">
      <c r="A7524">
        <v>219</v>
      </c>
    </row>
    <row r="7525" spans="1:1" x14ac:dyDescent="0.25">
      <c r="A7525">
        <v>7</v>
      </c>
    </row>
    <row r="7526" spans="1:1" x14ac:dyDescent="0.25">
      <c r="A7526">
        <v>801</v>
      </c>
    </row>
    <row r="7527" spans="1:1" x14ac:dyDescent="0.25">
      <c r="A7527" t="s">
        <v>2035</v>
      </c>
    </row>
    <row r="7528" spans="1:1" x14ac:dyDescent="0.25">
      <c r="A7528" t="s">
        <v>2036</v>
      </c>
    </row>
    <row r="7529" spans="1:1" x14ac:dyDescent="0.25">
      <c r="A7529" t="s">
        <v>1222</v>
      </c>
    </row>
    <row r="7530" spans="1:1" x14ac:dyDescent="0.25">
      <c r="A7530">
        <v>3615</v>
      </c>
    </row>
    <row r="7531" spans="1:1" x14ac:dyDescent="0.25">
      <c r="A7531">
        <v>246</v>
      </c>
    </row>
    <row r="7532" spans="1:1" x14ac:dyDescent="0.25">
      <c r="A7532">
        <v>225</v>
      </c>
    </row>
    <row r="7533" spans="1:1" x14ac:dyDescent="0.25">
      <c r="A7533">
        <v>190</v>
      </c>
    </row>
    <row r="7534" spans="1:1" x14ac:dyDescent="0.25">
      <c r="A7534">
        <v>7</v>
      </c>
    </row>
    <row r="7535" spans="1:1" x14ac:dyDescent="0.25">
      <c r="A7535">
        <v>802</v>
      </c>
    </row>
    <row r="7536" spans="1:1" x14ac:dyDescent="0.25">
      <c r="A7536" t="s">
        <v>2037</v>
      </c>
    </row>
    <row r="7537" spans="1:1" x14ac:dyDescent="0.25">
      <c r="A7537" t="s">
        <v>2038</v>
      </c>
    </row>
    <row r="7538" spans="1:1" x14ac:dyDescent="0.25">
      <c r="A7538" t="s">
        <v>2039</v>
      </c>
    </row>
    <row r="7539" spans="1:1" x14ac:dyDescent="0.25">
      <c r="A7539">
        <v>3730</v>
      </c>
    </row>
    <row r="7540" spans="1:1" x14ac:dyDescent="0.25">
      <c r="A7540">
        <v>265</v>
      </c>
    </row>
    <row r="7541" spans="1:1" x14ac:dyDescent="0.25">
      <c r="A7541">
        <v>190</v>
      </c>
    </row>
    <row r="7542" spans="1:1" x14ac:dyDescent="0.25">
      <c r="A7542">
        <v>207</v>
      </c>
    </row>
    <row r="7543" spans="1:1" x14ac:dyDescent="0.25">
      <c r="A7543">
        <v>7</v>
      </c>
    </row>
    <row r="7544" spans="1:1" x14ac:dyDescent="0.25">
      <c r="A7544">
        <v>803</v>
      </c>
    </row>
    <row r="7545" spans="1:1" x14ac:dyDescent="0.25">
      <c r="A7545" t="s">
        <v>2040</v>
      </c>
    </row>
    <row r="7546" spans="1:1" x14ac:dyDescent="0.25">
      <c r="A7546" t="s">
        <v>2041</v>
      </c>
    </row>
    <row r="7547" spans="1:1" x14ac:dyDescent="0.25">
      <c r="A7547" t="s">
        <v>836</v>
      </c>
    </row>
    <row r="7548" spans="1:1" x14ac:dyDescent="0.25">
      <c r="A7548">
        <v>15</v>
      </c>
    </row>
    <row r="7549" spans="1:1" x14ac:dyDescent="0.25">
      <c r="A7549">
        <v>1</v>
      </c>
    </row>
    <row r="7550" spans="1:1" x14ac:dyDescent="0.25">
      <c r="A7550">
        <v>1</v>
      </c>
    </row>
    <row r="7551" spans="1:1" x14ac:dyDescent="0.25">
      <c r="A7551">
        <v>1</v>
      </c>
    </row>
    <row r="7552" spans="1:1" x14ac:dyDescent="0.25">
      <c r="A7552">
        <v>7</v>
      </c>
    </row>
    <row r="7553" spans="1:1" x14ac:dyDescent="0.25">
      <c r="A7553">
        <v>804</v>
      </c>
    </row>
    <row r="7554" spans="1:1" x14ac:dyDescent="0.25">
      <c r="A7554" t="s">
        <v>2042</v>
      </c>
    </row>
    <row r="7555" spans="1:1" x14ac:dyDescent="0.25">
      <c r="A7555" t="s">
        <v>2043</v>
      </c>
    </row>
    <row r="7556" spans="1:1" x14ac:dyDescent="0.25">
      <c r="A7556" t="s">
        <v>1793</v>
      </c>
    </row>
    <row r="7557" spans="1:1" x14ac:dyDescent="0.25">
      <c r="A7557">
        <v>15</v>
      </c>
    </row>
    <row r="7558" spans="1:1" x14ac:dyDescent="0.25">
      <c r="A7558">
        <v>1</v>
      </c>
    </row>
    <row r="7559" spans="1:1" x14ac:dyDescent="0.25">
      <c r="A7559">
        <v>1</v>
      </c>
    </row>
    <row r="7560" spans="1:1" x14ac:dyDescent="0.25">
      <c r="A7560">
        <v>1</v>
      </c>
    </row>
    <row r="7561" spans="1:1" x14ac:dyDescent="0.25">
      <c r="A7561">
        <v>7</v>
      </c>
    </row>
    <row r="7562" spans="1:1" x14ac:dyDescent="0.25">
      <c r="A7562">
        <v>805</v>
      </c>
    </row>
    <row r="7563" spans="1:1" x14ac:dyDescent="0.25">
      <c r="A7563" t="s">
        <v>2044</v>
      </c>
    </row>
    <row r="7564" spans="1:1" x14ac:dyDescent="0.25">
      <c r="A7564" t="s">
        <v>2045</v>
      </c>
    </row>
    <row r="7565" spans="1:1" x14ac:dyDescent="0.25">
      <c r="A7565" t="s">
        <v>1307</v>
      </c>
    </row>
    <row r="7566" spans="1:1" x14ac:dyDescent="0.25">
      <c r="A7566">
        <v>15</v>
      </c>
    </row>
    <row r="7567" spans="1:1" x14ac:dyDescent="0.25">
      <c r="A7567">
        <v>1</v>
      </c>
    </row>
    <row r="7568" spans="1:1" x14ac:dyDescent="0.25">
      <c r="A7568">
        <v>1</v>
      </c>
    </row>
    <row r="7569" spans="1:1" x14ac:dyDescent="0.25">
      <c r="A7569">
        <v>1</v>
      </c>
    </row>
    <row r="7570" spans="1:1" x14ac:dyDescent="0.25">
      <c r="A7570">
        <v>7</v>
      </c>
    </row>
    <row r="7571" spans="1:1" x14ac:dyDescent="0.25">
      <c r="A7571">
        <v>806</v>
      </c>
    </row>
    <row r="7572" spans="1:1" x14ac:dyDescent="0.25">
      <c r="A7572" t="s">
        <v>2046</v>
      </c>
    </row>
    <row r="7573" spans="1:1" x14ac:dyDescent="0.25">
      <c r="A7573" t="s">
        <v>2047</v>
      </c>
    </row>
    <row r="7574" spans="1:1" x14ac:dyDescent="0.25">
      <c r="A7574" t="s">
        <v>977</v>
      </c>
    </row>
    <row r="7575" spans="1:1" x14ac:dyDescent="0.25">
      <c r="A7575">
        <v>15</v>
      </c>
    </row>
    <row r="7576" spans="1:1" x14ac:dyDescent="0.25">
      <c r="A7576">
        <v>1</v>
      </c>
    </row>
    <row r="7577" spans="1:1" x14ac:dyDescent="0.25">
      <c r="A7577">
        <v>1</v>
      </c>
    </row>
    <row r="7578" spans="1:1" x14ac:dyDescent="0.25">
      <c r="A7578">
        <v>1</v>
      </c>
    </row>
    <row r="7579" spans="1:1" x14ac:dyDescent="0.25">
      <c r="A7579">
        <v>7</v>
      </c>
    </row>
    <row r="7580" spans="1:1" x14ac:dyDescent="0.25">
      <c r="A7580">
        <v>807</v>
      </c>
    </row>
    <row r="7581" spans="1:1" x14ac:dyDescent="0.25">
      <c r="A7581" t="s">
        <v>2048</v>
      </c>
    </row>
    <row r="7582" spans="1:1" x14ac:dyDescent="0.25">
      <c r="A7582" t="s">
        <v>2049</v>
      </c>
    </row>
    <row r="7583" spans="1:1" x14ac:dyDescent="0.25">
      <c r="A7583" t="s">
        <v>839</v>
      </c>
    </row>
    <row r="7584" spans="1:1" x14ac:dyDescent="0.25">
      <c r="A7584">
        <v>15</v>
      </c>
    </row>
    <row r="7585" spans="1:1" x14ac:dyDescent="0.25">
      <c r="A7585">
        <v>1</v>
      </c>
    </row>
    <row r="7586" spans="1:1" x14ac:dyDescent="0.25">
      <c r="A7586">
        <v>1</v>
      </c>
    </row>
    <row r="7587" spans="1:1" x14ac:dyDescent="0.25">
      <c r="A7587">
        <v>1</v>
      </c>
    </row>
    <row r="7588" spans="1:1" x14ac:dyDescent="0.25">
      <c r="A7588">
        <v>7</v>
      </c>
    </row>
    <row r="7589" spans="1:1" x14ac:dyDescent="0.25">
      <c r="A7589">
        <v>808</v>
      </c>
    </row>
    <row r="7590" spans="1:1" x14ac:dyDescent="0.25">
      <c r="A7590" t="s">
        <v>2050</v>
      </c>
    </row>
    <row r="7591" spans="1:1" x14ac:dyDescent="0.25">
      <c r="A7591" t="s">
        <v>767</v>
      </c>
    </row>
    <row r="7592" spans="1:1" x14ac:dyDescent="0.25">
      <c r="A7592" t="s">
        <v>1479</v>
      </c>
    </row>
    <row r="7593" spans="1:1" x14ac:dyDescent="0.25">
      <c r="A7593">
        <v>1068</v>
      </c>
    </row>
    <row r="7594" spans="1:1" x14ac:dyDescent="0.25">
      <c r="A7594">
        <v>118</v>
      </c>
    </row>
    <row r="7595" spans="1:1" x14ac:dyDescent="0.25">
      <c r="A7595">
        <v>99</v>
      </c>
    </row>
    <row r="7596" spans="1:1" x14ac:dyDescent="0.25">
      <c r="A7596">
        <v>130</v>
      </c>
    </row>
    <row r="7597" spans="1:1" x14ac:dyDescent="0.25">
      <c r="A7597">
        <v>7</v>
      </c>
    </row>
    <row r="7598" spans="1:1" x14ac:dyDescent="0.25">
      <c r="A7598">
        <v>809</v>
      </c>
    </row>
    <row r="7599" spans="1:1" x14ac:dyDescent="0.25">
      <c r="A7599" t="s">
        <v>2051</v>
      </c>
    </row>
    <row r="7600" spans="1:1" x14ac:dyDescent="0.25">
      <c r="A7600" t="s">
        <v>768</v>
      </c>
    </row>
    <row r="7601" spans="1:1" x14ac:dyDescent="0.25">
      <c r="A7601" t="s">
        <v>1479</v>
      </c>
    </row>
    <row r="7602" spans="1:1" x14ac:dyDescent="0.25">
      <c r="A7602">
        <v>3599</v>
      </c>
    </row>
    <row r="7603" spans="1:1" x14ac:dyDescent="0.25">
      <c r="A7603">
        <v>226</v>
      </c>
    </row>
    <row r="7604" spans="1:1" x14ac:dyDescent="0.25">
      <c r="A7604">
        <v>190</v>
      </c>
    </row>
    <row r="7605" spans="1:1" x14ac:dyDescent="0.25">
      <c r="A7605">
        <v>264</v>
      </c>
    </row>
    <row r="7606" spans="1:1" x14ac:dyDescent="0.25">
      <c r="A760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Buddy Distances</vt:lpstr>
      <vt:lpstr>Sheet2</vt:lpstr>
      <vt:lpstr>refs</vt:lpstr>
      <vt:lpstr>Sheet4</vt:lpstr>
      <vt:lpstr>specialEventFactor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Ismel Salazar</dc:creator>
  <cp:lastModifiedBy>Ismel Salazar</cp:lastModifiedBy>
  <dcterms:created xsi:type="dcterms:W3CDTF">2020-04-25T03:56:26Z</dcterms:created>
  <dcterms:modified xsi:type="dcterms:W3CDTF">2020-05-23T04:32:42Z</dcterms:modified>
</cp:coreProperties>
</file>